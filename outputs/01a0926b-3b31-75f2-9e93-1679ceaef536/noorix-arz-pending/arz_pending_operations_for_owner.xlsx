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dex\Baseer-odoo\outputs\01a0926b-3b31-75f2-9e93-1679ceaef536\noorix-arz-pending\"/>
    </mc:Choice>
  </mc:AlternateContent>
  <xr:revisionPtr revIDLastSave="0" documentId="13_ncr:1_{3CB5704C-6E75-43DF-9CBF-3B9965D6A1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العمليات المعلقة" sheetId="1" r:id="rId1"/>
    <sheet name="الأجور المرحلة" sheetId="2" r:id="rId2"/>
    <sheet name="التعليمات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3" i="1"/>
</calcChain>
</file>

<file path=xl/sharedStrings.xml><?xml version="1.0" encoding="utf-8"?>
<sst xmlns="http://schemas.openxmlformats.org/spreadsheetml/2006/main" count="404" uniqueCount="177">
  <si>
    <t>عمليات ARZ المعلقة للتصنيف</t>
  </si>
  <si>
    <t>عدّل الخلايا الصفراء فقط. المبالغ شاملة الضريبة، والنسخة الأصلية لا تتأثر بهذا الملف.</t>
  </si>
  <si>
    <t>عدد العمليات</t>
  </si>
  <si>
    <t>إجمالي المبلغ (ريال)</t>
  </si>
  <si>
    <t>الشركة</t>
  </si>
  <si>
    <t>التاريخ</t>
  </si>
  <si>
    <t>رقم المستند</t>
  </si>
  <si>
    <t>المورد</t>
  </si>
  <si>
    <t>وصف المصدر</t>
  </si>
  <si>
    <t>فئة نوركس</t>
  </si>
  <si>
    <t>المبلغ (ريال)</t>
  </si>
  <si>
    <t>سبب التعليق</t>
  </si>
  <si>
    <t>قرار المالك</t>
  </si>
  <si>
    <t>الفئة أو الحساب المعتمد</t>
  </si>
  <si>
    <t>ملاحظات المالك</t>
  </si>
  <si>
    <t>معرف المصدر</t>
  </si>
  <si>
    <t>ARZ</t>
  </si>
  <si>
    <t>EXP-20260430-003</t>
  </si>
  <si>
    <t>مؤسسة اللمسات الاخيرة</t>
  </si>
  <si>
    <t>سرير</t>
  </si>
  <si>
    <t>أثاث</t>
  </si>
  <si>
    <t>أثاث بلا دليل أصل</t>
  </si>
  <si>
    <t>ARZ-PENDING-01</t>
  </si>
  <si>
    <t>EXP-20260430-004</t>
  </si>
  <si>
    <t>مؤسسة احمد الزهراني</t>
  </si>
  <si>
    <t>سلم</t>
  </si>
  <si>
    <t>أصول ومعدات</t>
  </si>
  <si>
    <t>أصل أو معدات بلا دليل</t>
  </si>
  <si>
    <t>ARZ-PENDING-02</t>
  </si>
  <si>
    <t>EXP-20260430-005</t>
  </si>
  <si>
    <t>NO TAX</t>
  </si>
  <si>
    <t>كنب مستخدم</t>
  </si>
  <si>
    <t>ARZ-PENDING-03</t>
  </si>
  <si>
    <t>EXP-20260615-001</t>
  </si>
  <si>
    <t>مكيفات دولاب Carrier عدد 2</t>
  </si>
  <si>
    <t>أجهزة وإلكترونيات</t>
  </si>
  <si>
    <t>أجهزة بلا دليل أصل</t>
  </si>
  <si>
    <t>ARZ-PENDING-04</t>
  </si>
  <si>
    <t>PUR-20260618-001</t>
  </si>
  <si>
    <t>مؤسسة الألماسية للأزياء</t>
  </si>
  <si>
    <t>بنكي</t>
  </si>
  <si>
    <t>غير مصنفة</t>
  </si>
  <si>
    <t>غير مصنف</t>
  </si>
  <si>
    <t>ARZ-PENDING-05</t>
  </si>
  <si>
    <t>EXP-20260620-002</t>
  </si>
  <si>
    <t>شركة عالم ساكو</t>
  </si>
  <si>
    <t>اسامه</t>
  </si>
  <si>
    <t>ARZ-PENDING-06</t>
  </si>
  <si>
    <t>EXP-20260620-003</t>
  </si>
  <si>
    <t>لولو هايبر</t>
  </si>
  <si>
    <t>نقدا + نقدا</t>
  </si>
  <si>
    <t>ARZ-PENDING-07</t>
  </si>
  <si>
    <t>EXP-20260621-003</t>
  </si>
  <si>
    <t>ستاند شاشة متنقل</t>
  </si>
  <si>
    <t>ARZ-PENDING-08</t>
  </si>
  <si>
    <t>PUR-20260621-001</t>
  </si>
  <si>
    <t>مؤسسة دروع الكواكب التجارية</t>
  </si>
  <si>
    <t>ARZ-PENDING-09</t>
  </si>
  <si>
    <t>EXP-20260623-001</t>
  </si>
  <si>
    <t>مصروفات</t>
  </si>
  <si>
    <t>ARZ-PENDING-10</t>
  </si>
  <si>
    <t>EXP-20260628-001</t>
  </si>
  <si>
    <t>ARZ-PENDING-11</t>
  </si>
  <si>
    <t>EXP-20260704-001</t>
  </si>
  <si>
    <t>ARZ-PENDING-12</t>
  </si>
  <si>
    <t>PUR-20260709-006</t>
  </si>
  <si>
    <t>صالح وعبدالعزيز</t>
  </si>
  <si>
    <t>ARZ-PENDING-13</t>
  </si>
  <si>
    <t>PUR-20260713-005</t>
  </si>
  <si>
    <t>ARZ-PENDING-14</t>
  </si>
  <si>
    <t>PUR-20260713-006</t>
  </si>
  <si>
    <t>ARZ-PENDING-15</t>
  </si>
  <si>
    <t>PUR-20260715-001</t>
  </si>
  <si>
    <t>دوحة المستهلك</t>
  </si>
  <si>
    <t>غير مصنف — مورد داخلي محتمل</t>
  </si>
  <si>
    <t>ARZ-PENDING-16</t>
  </si>
  <si>
    <t>PUR-20260717-003</t>
  </si>
  <si>
    <t>ARZ-PENDING-17</t>
  </si>
  <si>
    <t>PUR-20260721-004</t>
  </si>
  <si>
    <t>مؤسسة أمل بن عبدالله الأحمري التجارية</t>
  </si>
  <si>
    <t>ARZ-PENDING-18</t>
  </si>
  <si>
    <t>PUR-20260722-001</t>
  </si>
  <si>
    <t>شركة عذوبة الشروق التجارية</t>
  </si>
  <si>
    <t>ARZ-PENDING-19</t>
  </si>
  <si>
    <t>PUR-20260729-006</t>
  </si>
  <si>
    <t>ARZ-PENDING-20</t>
  </si>
  <si>
    <t>PUR-20260805-010</t>
  </si>
  <si>
    <t>أطياف سيناء</t>
  </si>
  <si>
    <t>ARZ-PENDING-21</t>
  </si>
  <si>
    <t>PUR-20260807-001</t>
  </si>
  <si>
    <t>جرمان شيب صقر</t>
  </si>
  <si>
    <t>ARZ-PENDING-22</t>
  </si>
  <si>
    <t>PUR-20260808-001</t>
  </si>
  <si>
    <t>شركة محمد المنهالي للتجارة</t>
  </si>
  <si>
    <t>ARZ-PENDING-23</t>
  </si>
  <si>
    <t>EXP-20260810-001</t>
  </si>
  <si>
    <t>ARZ-PENDING-24</t>
  </si>
  <si>
    <t>PUR-20260814-002</t>
  </si>
  <si>
    <t>مستشفى</t>
  </si>
  <si>
    <t>ARZ-PENDING-25</t>
  </si>
  <si>
    <t>PUR-20260814-011</t>
  </si>
  <si>
    <t>ياسر مطلق العتيبي</t>
  </si>
  <si>
    <t>ARZ-PENDING-26</t>
  </si>
  <si>
    <t>PUR-20260814-014</t>
  </si>
  <si>
    <t>هنجر ستيشن</t>
  </si>
  <si>
    <t>ARZ-PENDING-27</t>
  </si>
  <si>
    <t>EXP-20260821-001</t>
  </si>
  <si>
    <t>ARZ-PENDING-28</t>
  </si>
  <si>
    <t>PUR-20260821-001</t>
  </si>
  <si>
    <t>ARZ-PENDING-29</t>
  </si>
  <si>
    <t>PUR-20260824-002</t>
  </si>
  <si>
    <t>مؤسسة عايض بن مناحي</t>
  </si>
  <si>
    <t>ARZ-PENDING-30</t>
  </si>
  <si>
    <t>PUR-20260827-006</t>
  </si>
  <si>
    <t>صح للديكور</t>
  </si>
  <si>
    <t>ARZ-PENDING-31</t>
  </si>
  <si>
    <t>PUR-20260829-008</t>
  </si>
  <si>
    <t>آل شبلان</t>
  </si>
  <si>
    <t>ARZ-PENDING-32</t>
  </si>
  <si>
    <t>PUR-20260906-001</t>
  </si>
  <si>
    <t>ARZ-PENDING-33</t>
  </si>
  <si>
    <t>EXP-20260908-001</t>
  </si>
  <si>
    <t>ARZ-PENDING-34</t>
  </si>
  <si>
    <t>PUR-20260908-003</t>
  </si>
  <si>
    <t>ARZ-PENDING-35</t>
  </si>
  <si>
    <t>PUR-20260910-001</t>
  </si>
  <si>
    <t>تخفيضات العائلة</t>
  </si>
  <si>
    <t>ARZ-PENDING-36</t>
  </si>
  <si>
    <t>أجور تاريخية مرحّلة مسبقًا</t>
  </si>
  <si>
    <t>هذه مرجعية فقط: تم إدخالها سابقًا ضمن الرواتب التاريخية، ولا تتطلب قرارًا جديدًا.</t>
  </si>
  <si>
    <t>الإجمالي (ريال)</t>
  </si>
  <si>
    <t>النوع</t>
  </si>
  <si>
    <t>البيان</t>
  </si>
  <si>
    <t>EXP-20260403-001</t>
  </si>
  <si>
    <t>صرف راتب مؤقت</t>
  </si>
  <si>
    <t>EXP-20260408-001</t>
  </si>
  <si>
    <t>اوفر تايم</t>
  </si>
  <si>
    <t>EXP-20260409-001</t>
  </si>
  <si>
    <t>EXP-20260410-001</t>
  </si>
  <si>
    <t>EXP-20260411-001</t>
  </si>
  <si>
    <t>EXP-20260412-001</t>
  </si>
  <si>
    <t>EXP-20260413-002</t>
  </si>
  <si>
    <t>EXP-20260416-001</t>
  </si>
  <si>
    <t>راتب حمو باريستا</t>
  </si>
  <si>
    <t>EXP-20260416-002</t>
  </si>
  <si>
    <t>راتب رجب شيشة</t>
  </si>
  <si>
    <t>EXP-20260419-001</t>
  </si>
  <si>
    <t>عبدالمجيد</t>
  </si>
  <si>
    <t>EXP-20260423-001</t>
  </si>
  <si>
    <t>عاشق</t>
  </si>
  <si>
    <t>EXP-20260502-002</t>
  </si>
  <si>
    <t>كريم</t>
  </si>
  <si>
    <t>EXP-20260429-002</t>
  </si>
  <si>
    <t>راتب أحمد سعدون</t>
  </si>
  <si>
    <t>EXP-20260430-006</t>
  </si>
  <si>
    <t>EXP-20260502-003</t>
  </si>
  <si>
    <t>EXP-20260501-001</t>
  </si>
  <si>
    <t>Expenses</t>
  </si>
  <si>
    <t>EXP-20260508-001</t>
  </si>
  <si>
    <t>راتب شريف نصف شهر</t>
  </si>
  <si>
    <t>EXP-20260512-006</t>
  </si>
  <si>
    <t>EXP-20260512-007</t>
  </si>
  <si>
    <t>EXP-20260518-001</t>
  </si>
  <si>
    <t>EXP-20260521-001</t>
  </si>
  <si>
    <t>EXP-20260621-004</t>
  </si>
  <si>
    <t>EXP-20260621-005</t>
  </si>
  <si>
    <t>طريقة تحديث الملف</t>
  </si>
  <si>
    <t>1. افتح ورقة العمليات المعلقة.</t>
  </si>
  <si>
    <t>2. اكتب قرارك في قرار المالك: رحّل أو استبعد أو احتاج توضيح.</t>
  </si>
  <si>
    <t>3. عند اختيار رحّل، اختر الفئة أو الحساب المعتمد واكتب أي توضيح ضروري.</t>
  </si>
  <si>
    <t>4. لا تعدّل رقم المستند أو المبلغ أو الشركة أو معرف المصدر.</t>
  </si>
  <si>
    <t>5. أعد رفع الملف هنا، وسأطبّق القرارات في نسخة التجربة مع التسوية.</t>
  </si>
  <si>
    <t>المصدر: أرشيف نوركس، شركة ARZ، السجلات المتبقية بعد موجات الترحيل المنفذة في نسخة التجربة.</t>
  </si>
  <si>
    <t>106002 - أثاث</t>
  </si>
  <si>
    <t>رحّل</t>
  </si>
  <si>
    <t>106003 - أجهزة وإلكترونيات</t>
  </si>
  <si>
    <t>400001 - مشتريات/مواد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</si>
</sst>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name val="Carlito"/>
    </font>
    <font>
      <b/>
      <sz val="16"/>
      <color rgb="FF17365D"/>
      <name val="Arial"/>
    </font>
    <font>
      <i/>
      <sz val="10"/>
      <color rgb="FF4B5563"/>
      <name val="Arial"/>
    </font>
    <font>
      <b/>
      <sz val="10"/>
      <color rgb="FF17365D"/>
      <name val="Arial"/>
    </font>
    <font>
      <b/>
      <sz val="10"/>
      <color rgb="FF1F2937"/>
      <name val="Arial"/>
    </font>
    <font>
      <sz val="10"/>
      <color rgb="FF1F2937"/>
      <name val="Arial"/>
    </font>
    <font>
      <sz val="11"/>
      <color rgb="FF1F2937"/>
      <name val="Arial"/>
    </font>
  </fonts>
  <fills count="6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AAB7C4"/>
      </left>
      <right/>
      <top style="thin">
        <color rgb="FFAAB7C4"/>
      </top>
      <bottom/>
      <diagonal/>
    </border>
    <border>
      <left/>
      <right/>
      <top style="thin">
        <color rgb="FFAAB7C4"/>
      </top>
      <bottom/>
      <diagonal/>
    </border>
    <border>
      <left/>
      <right style="thin">
        <color rgb="FFAAB7C4"/>
      </right>
      <top style="thin">
        <color rgb="FFAAB7C4"/>
      </top>
      <bottom/>
      <diagonal/>
    </border>
    <border>
      <left style="thin">
        <color rgb="FFAAB7C4"/>
      </left>
      <right/>
      <top/>
      <bottom/>
      <diagonal/>
    </border>
    <border>
      <left/>
      <right style="thin">
        <color rgb="FFAAB7C4"/>
      </right>
      <top/>
      <bottom/>
      <diagonal/>
    </border>
    <border>
      <left style="thin">
        <color rgb="FFAAB7C4"/>
      </left>
      <right/>
      <top/>
      <bottom style="thin">
        <color rgb="FFAAB7C4"/>
      </bottom>
      <diagonal/>
    </border>
    <border>
      <left/>
      <right/>
      <top/>
      <bottom style="thin">
        <color rgb="FFAAB7C4"/>
      </bottom>
      <diagonal/>
    </border>
    <border>
      <left/>
      <right style="thin">
        <color rgb="FFAAB7C4"/>
      </right>
      <top/>
      <bottom style="thin">
        <color rgb="FFAAB7C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4" fontId="3" fillId="2" borderId="0" xfId="0" applyNumberFormat="1" applyFont="1" applyFill="1"/>
    <xf numFmtId="0" fontId="5" fillId="0" borderId="0" xfId="0" applyFont="1"/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4" fontId="5" fillId="0" borderId="0" xfId="0" applyNumberFormat="1" applyFont="1" applyAlignment="1">
      <alignment vertical="center"/>
    </xf>
    <xf numFmtId="0" fontId="5" fillId="4" borderId="0" xfId="0" applyFont="1" applyFill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164" fontId="5" fillId="0" borderId="7" xfId="0" applyNumberFormat="1" applyFont="1" applyBorder="1" applyAlignment="1">
      <alignment vertical="center"/>
    </xf>
    <xf numFmtId="0" fontId="5" fillId="0" borderId="7" xfId="0" applyFont="1" applyBorder="1" applyAlignment="1">
      <alignment vertical="center"/>
    </xf>
    <xf numFmtId="4" fontId="5" fillId="0" borderId="7" xfId="0" applyNumberFormat="1" applyFont="1" applyBorder="1" applyAlignment="1">
      <alignment vertical="center"/>
    </xf>
    <xf numFmtId="0" fontId="5" fillId="4" borderId="7" xfId="0" applyFont="1" applyFill="1" applyBorder="1" applyAlignment="1">
      <alignment vertical="center" wrapText="1"/>
    </xf>
    <xf numFmtId="0" fontId="5" fillId="0" borderId="8" xfId="0" applyFont="1" applyBorder="1" applyAlignment="1">
      <alignment vertical="center"/>
    </xf>
    <xf numFmtId="164" fontId="5" fillId="0" borderId="4" xfId="0" applyNumberFormat="1" applyFont="1" applyBorder="1"/>
    <xf numFmtId="4" fontId="5" fillId="0" borderId="5" xfId="0" applyNumberFormat="1" applyFont="1" applyBorder="1"/>
    <xf numFmtId="164" fontId="5" fillId="0" borderId="6" xfId="0" applyNumberFormat="1" applyFont="1" applyBorder="1"/>
    <xf numFmtId="0" fontId="5" fillId="0" borderId="7" xfId="0" applyFont="1" applyBorder="1"/>
    <xf numFmtId="4" fontId="5" fillId="0" borderId="8" xfId="0" applyNumberFormat="1" applyFont="1" applyBorder="1"/>
    <xf numFmtId="0" fontId="6" fillId="0" borderId="0" xfId="0" applyFont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/>
        <color rgb="FF9C0006"/>
      </font>
      <fill>
        <patternFill patternType="solid">
          <bgColor rgb="FFFDE9E7"/>
        </patternFill>
      </fill>
    </dxf>
    <dxf>
      <font>
        <b/>
        <color rgb="FF9C5700"/>
      </font>
      <fill>
        <patternFill patternType="solid">
          <bgColor rgb="FFFCE4D6"/>
        </patternFill>
      </fill>
    </dxf>
    <dxf>
      <font>
        <b/>
        <color rgb="FF2F6B3B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showGridLines="0" tabSelected="1" workbookViewId="0">
      <pane ySplit="5" topLeftCell="A6" activePane="bottomLeft" state="frozen"/>
      <selection pane="bottomLeft" activeCell="I29" sqref="I29:J29"/>
    </sheetView>
  </sheetViews>
  <sheetFormatPr defaultColWidth="11.375" defaultRowHeight="26.25" customHeight="1"/>
  <cols>
    <col min="4" max="4" width="24.375" customWidth="1"/>
    <col min="10" max="10" width="24.375" customWidth="1"/>
  </cols>
  <sheetData>
    <row r="1" spans="1:12" ht="26.25" customHeight="1">
      <c r="A1" s="1" t="s">
        <v>0</v>
      </c>
    </row>
    <row r="2" spans="1:12" ht="26.25" customHeight="1">
      <c r="A2" s="2" t="s">
        <v>1</v>
      </c>
    </row>
    <row r="3" spans="1:12" ht="26.25" customHeight="1">
      <c r="A3" s="3" t="s">
        <v>2</v>
      </c>
      <c r="B3" s="3">
        <v>36</v>
      </c>
      <c r="C3" s="3"/>
      <c r="D3" s="3" t="s">
        <v>3</v>
      </c>
      <c r="E3" s="4">
        <f>SUM(G6:G41)</f>
        <v>17032.25</v>
      </c>
    </row>
    <row r="5" spans="1:12" ht="26.25" customHeight="1">
      <c r="A5" s="27" t="s">
        <v>4</v>
      </c>
      <c r="B5" s="28" t="s">
        <v>5</v>
      </c>
      <c r="C5" s="28" t="s">
        <v>6</v>
      </c>
      <c r="D5" s="28" t="s">
        <v>7</v>
      </c>
      <c r="E5" s="28" t="s">
        <v>8</v>
      </c>
      <c r="F5" s="28" t="s">
        <v>9</v>
      </c>
      <c r="G5" s="28" t="s">
        <v>10</v>
      </c>
      <c r="H5" s="28" t="s">
        <v>11</v>
      </c>
      <c r="I5" s="28" t="s">
        <v>12</v>
      </c>
      <c r="J5" s="28" t="s">
        <v>13</v>
      </c>
      <c r="K5" s="28" t="s">
        <v>14</v>
      </c>
      <c r="L5" s="29" t="s">
        <v>15</v>
      </c>
    </row>
    <row r="6" spans="1:12" ht="26.25" customHeight="1">
      <c r="A6" s="13" t="s">
        <v>16</v>
      </c>
      <c r="B6" s="7">
        <v>46142</v>
      </c>
      <c r="C6" s="6" t="s">
        <v>17</v>
      </c>
      <c r="D6" s="6" t="s">
        <v>18</v>
      </c>
      <c r="E6" s="6" t="s">
        <v>19</v>
      </c>
      <c r="F6" s="6" t="s">
        <v>20</v>
      </c>
      <c r="G6" s="8">
        <v>550</v>
      </c>
      <c r="H6" s="6" t="s">
        <v>21</v>
      </c>
      <c r="I6" s="9" t="s">
        <v>174</v>
      </c>
      <c r="J6" s="9" t="s">
        <v>173</v>
      </c>
      <c r="K6" s="9"/>
      <c r="L6" s="14" t="s">
        <v>22</v>
      </c>
    </row>
    <row r="7" spans="1:12" ht="26.25" customHeight="1">
      <c r="A7" s="13" t="s">
        <v>16</v>
      </c>
      <c r="B7" s="7">
        <v>46142</v>
      </c>
      <c r="C7" s="6" t="s">
        <v>23</v>
      </c>
      <c r="D7" s="6" t="s">
        <v>24</v>
      </c>
      <c r="E7" s="6" t="s">
        <v>25</v>
      </c>
      <c r="F7" s="6" t="s">
        <v>26</v>
      </c>
      <c r="G7" s="8">
        <v>370</v>
      </c>
      <c r="H7" s="6" t="s">
        <v>27</v>
      </c>
      <c r="I7" s="9" t="s">
        <v>174</v>
      </c>
      <c r="J7" s="9" t="s">
        <v>175</v>
      </c>
      <c r="K7" s="9"/>
      <c r="L7" s="14" t="s">
        <v>28</v>
      </c>
    </row>
    <row r="8" spans="1:12" ht="26.25" customHeight="1">
      <c r="A8" s="13" t="s">
        <v>16</v>
      </c>
      <c r="B8" s="7">
        <v>46142</v>
      </c>
      <c r="C8" s="6" t="s">
        <v>29</v>
      </c>
      <c r="D8" s="6" t="s">
        <v>30</v>
      </c>
      <c r="E8" s="6" t="s">
        <v>31</v>
      </c>
      <c r="F8" s="6" t="s">
        <v>20</v>
      </c>
      <c r="G8" s="8">
        <v>500</v>
      </c>
      <c r="H8" s="6" t="s">
        <v>21</v>
      </c>
      <c r="I8" s="9" t="s">
        <v>174</v>
      </c>
      <c r="J8" s="9" t="s">
        <v>173</v>
      </c>
      <c r="K8" s="9"/>
      <c r="L8" s="14" t="s">
        <v>32</v>
      </c>
    </row>
    <row r="9" spans="1:12" ht="26.25" customHeight="1">
      <c r="A9" s="13" t="s">
        <v>16</v>
      </c>
      <c r="B9" s="7">
        <v>46188</v>
      </c>
      <c r="C9" s="6" t="s">
        <v>33</v>
      </c>
      <c r="D9" s="6" t="s">
        <v>30</v>
      </c>
      <c r="E9" s="6" t="s">
        <v>34</v>
      </c>
      <c r="F9" s="6" t="s">
        <v>35</v>
      </c>
      <c r="G9" s="8">
        <v>11215</v>
      </c>
      <c r="H9" s="6" t="s">
        <v>36</v>
      </c>
      <c r="I9" s="9" t="s">
        <v>174</v>
      </c>
      <c r="J9" s="9" t="s">
        <v>175</v>
      </c>
      <c r="K9" s="9"/>
      <c r="L9" s="14" t="s">
        <v>37</v>
      </c>
    </row>
    <row r="10" spans="1:12" ht="26.25" customHeight="1">
      <c r="A10" s="13" t="s">
        <v>16</v>
      </c>
      <c r="B10" s="7">
        <v>46191</v>
      </c>
      <c r="C10" s="6" t="s">
        <v>38</v>
      </c>
      <c r="D10" s="6" t="s">
        <v>39</v>
      </c>
      <c r="E10" s="6" t="s">
        <v>40</v>
      </c>
      <c r="F10" s="6" t="s">
        <v>41</v>
      </c>
      <c r="G10" s="8">
        <v>250.7</v>
      </c>
      <c r="H10" s="6" t="s">
        <v>42</v>
      </c>
      <c r="I10" s="9" t="s">
        <v>174</v>
      </c>
      <c r="J10" s="9" t="s">
        <v>176</v>
      </c>
      <c r="K10" s="9"/>
      <c r="L10" s="14" t="s">
        <v>43</v>
      </c>
    </row>
    <row r="11" spans="1:12" ht="26.25" customHeight="1">
      <c r="A11" s="13" t="s">
        <v>16</v>
      </c>
      <c r="B11" s="7">
        <v>46193</v>
      </c>
      <c r="C11" s="6" t="s">
        <v>44</v>
      </c>
      <c r="D11" s="6" t="s">
        <v>45</v>
      </c>
      <c r="E11" s="6" t="s">
        <v>46</v>
      </c>
      <c r="F11" s="6" t="s">
        <v>35</v>
      </c>
      <c r="G11" s="8">
        <v>210.05</v>
      </c>
      <c r="H11" s="6" t="s">
        <v>36</v>
      </c>
      <c r="I11" s="9" t="s">
        <v>174</v>
      </c>
      <c r="J11" s="9" t="s">
        <v>175</v>
      </c>
      <c r="K11" s="9"/>
      <c r="L11" s="14" t="s">
        <v>47</v>
      </c>
    </row>
    <row r="12" spans="1:12" ht="26.25" customHeight="1">
      <c r="A12" s="13" t="s">
        <v>16</v>
      </c>
      <c r="B12" s="7">
        <v>46193</v>
      </c>
      <c r="C12" s="6" t="s">
        <v>48</v>
      </c>
      <c r="D12" s="6" t="s">
        <v>49</v>
      </c>
      <c r="E12" s="6" t="s">
        <v>50</v>
      </c>
      <c r="F12" s="6" t="s">
        <v>35</v>
      </c>
      <c r="G12" s="8">
        <v>103</v>
      </c>
      <c r="H12" s="6" t="s">
        <v>36</v>
      </c>
      <c r="I12" s="9" t="s">
        <v>174</v>
      </c>
      <c r="J12" s="9" t="s">
        <v>175</v>
      </c>
      <c r="K12" s="9"/>
      <c r="L12" s="14" t="s">
        <v>51</v>
      </c>
    </row>
    <row r="13" spans="1:12" ht="26.25" customHeight="1">
      <c r="A13" s="13" t="s">
        <v>16</v>
      </c>
      <c r="B13" s="7">
        <v>46194</v>
      </c>
      <c r="C13" s="6" t="s">
        <v>52</v>
      </c>
      <c r="D13" s="6" t="s">
        <v>45</v>
      </c>
      <c r="E13" s="6" t="s">
        <v>53</v>
      </c>
      <c r="F13" s="6" t="s">
        <v>35</v>
      </c>
      <c r="G13" s="8">
        <v>899</v>
      </c>
      <c r="H13" s="6" t="s">
        <v>36</v>
      </c>
      <c r="I13" s="9" t="s">
        <v>174</v>
      </c>
      <c r="J13" s="9" t="s">
        <v>175</v>
      </c>
      <c r="K13" s="9"/>
      <c r="L13" s="14" t="s">
        <v>54</v>
      </c>
    </row>
    <row r="14" spans="1:12" ht="26.25" customHeight="1">
      <c r="A14" s="13" t="s">
        <v>16</v>
      </c>
      <c r="B14" s="7">
        <v>46194</v>
      </c>
      <c r="C14" s="6" t="s">
        <v>55</v>
      </c>
      <c r="D14" s="6" t="s">
        <v>56</v>
      </c>
      <c r="E14" s="6" t="s">
        <v>50</v>
      </c>
      <c r="F14" s="6" t="s">
        <v>41</v>
      </c>
      <c r="G14" s="8">
        <v>250</v>
      </c>
      <c r="H14" s="6" t="s">
        <v>42</v>
      </c>
      <c r="I14" s="9" t="s">
        <v>174</v>
      </c>
      <c r="J14" s="9" t="s">
        <v>176</v>
      </c>
      <c r="K14" s="9"/>
      <c r="L14" s="14" t="s">
        <v>57</v>
      </c>
    </row>
    <row r="15" spans="1:12" ht="26.25" customHeight="1">
      <c r="A15" s="13" t="s">
        <v>16</v>
      </c>
      <c r="B15" s="7">
        <v>46196</v>
      </c>
      <c r="C15" s="6" t="s">
        <v>58</v>
      </c>
      <c r="D15" s="6" t="s">
        <v>45</v>
      </c>
      <c r="E15" s="6" t="s">
        <v>59</v>
      </c>
      <c r="F15" s="6" t="s">
        <v>35</v>
      </c>
      <c r="G15" s="8">
        <v>140</v>
      </c>
      <c r="H15" s="6" t="s">
        <v>36</v>
      </c>
      <c r="I15" s="9" t="s">
        <v>174</v>
      </c>
      <c r="J15" s="9" t="s">
        <v>175</v>
      </c>
      <c r="K15" s="9"/>
      <c r="L15" s="14" t="s">
        <v>60</v>
      </c>
    </row>
    <row r="16" spans="1:12" ht="26.25" customHeight="1">
      <c r="A16" s="13" t="s">
        <v>16</v>
      </c>
      <c r="B16" s="7">
        <v>46201</v>
      </c>
      <c r="C16" s="6" t="s">
        <v>61</v>
      </c>
      <c r="D16" s="6" t="s">
        <v>24</v>
      </c>
      <c r="E16" s="6" t="s">
        <v>59</v>
      </c>
      <c r="F16" s="6" t="s">
        <v>26</v>
      </c>
      <c r="G16" s="8">
        <v>40.020000000000003</v>
      </c>
      <c r="H16" s="6" t="s">
        <v>27</v>
      </c>
      <c r="I16" s="9" t="s">
        <v>174</v>
      </c>
      <c r="J16" s="9" t="s">
        <v>175</v>
      </c>
      <c r="K16" s="9"/>
      <c r="L16" s="14" t="s">
        <v>62</v>
      </c>
    </row>
    <row r="17" spans="1:12" ht="26.25" customHeight="1">
      <c r="A17" s="13" t="s">
        <v>16</v>
      </c>
      <c r="B17" s="7">
        <v>46207</v>
      </c>
      <c r="C17" s="6" t="s">
        <v>63</v>
      </c>
      <c r="D17" s="6" t="s">
        <v>24</v>
      </c>
      <c r="E17" s="6" t="s">
        <v>59</v>
      </c>
      <c r="F17" s="6" t="s">
        <v>26</v>
      </c>
      <c r="G17" s="8">
        <v>54</v>
      </c>
      <c r="H17" s="6" t="s">
        <v>27</v>
      </c>
      <c r="I17" s="9" t="s">
        <v>174</v>
      </c>
      <c r="J17" s="9" t="s">
        <v>175</v>
      </c>
      <c r="K17" s="9"/>
      <c r="L17" s="14" t="s">
        <v>64</v>
      </c>
    </row>
    <row r="18" spans="1:12" ht="26.25" customHeight="1">
      <c r="A18" s="13" t="s">
        <v>16</v>
      </c>
      <c r="B18" s="7">
        <v>46212</v>
      </c>
      <c r="C18" s="6" t="s">
        <v>65</v>
      </c>
      <c r="D18" s="6" t="s">
        <v>66</v>
      </c>
      <c r="E18" s="6"/>
      <c r="F18" s="6" t="s">
        <v>41</v>
      </c>
      <c r="G18" s="8">
        <v>70.010000000000005</v>
      </c>
      <c r="H18" s="6" t="s">
        <v>42</v>
      </c>
      <c r="I18" s="9" t="s">
        <v>174</v>
      </c>
      <c r="J18" s="9" t="s">
        <v>176</v>
      </c>
      <c r="K18" s="9"/>
      <c r="L18" s="14" t="s">
        <v>67</v>
      </c>
    </row>
    <row r="19" spans="1:12" ht="26.25" customHeight="1">
      <c r="A19" s="13" t="s">
        <v>16</v>
      </c>
      <c r="B19" s="7">
        <v>46216</v>
      </c>
      <c r="C19" s="6" t="s">
        <v>68</v>
      </c>
      <c r="D19" s="6" t="s">
        <v>56</v>
      </c>
      <c r="E19" s="6"/>
      <c r="F19" s="6" t="s">
        <v>41</v>
      </c>
      <c r="G19" s="8">
        <v>200</v>
      </c>
      <c r="H19" s="6" t="s">
        <v>42</v>
      </c>
      <c r="I19" s="9" t="s">
        <v>174</v>
      </c>
      <c r="J19" s="9" t="s">
        <v>176</v>
      </c>
      <c r="K19" s="9"/>
      <c r="L19" s="14" t="s">
        <v>69</v>
      </c>
    </row>
    <row r="20" spans="1:12" ht="26.25" customHeight="1">
      <c r="A20" s="13" t="s">
        <v>16</v>
      </c>
      <c r="B20" s="7">
        <v>46216</v>
      </c>
      <c r="C20" s="6" t="s">
        <v>70</v>
      </c>
      <c r="D20" s="6" t="s">
        <v>56</v>
      </c>
      <c r="E20" s="6"/>
      <c r="F20" s="6" t="s">
        <v>41</v>
      </c>
      <c r="G20" s="8">
        <v>250</v>
      </c>
      <c r="H20" s="6" t="s">
        <v>42</v>
      </c>
      <c r="I20" s="9" t="s">
        <v>174</v>
      </c>
      <c r="J20" s="9" t="s">
        <v>176</v>
      </c>
      <c r="K20" s="9"/>
      <c r="L20" s="14" t="s">
        <v>71</v>
      </c>
    </row>
    <row r="21" spans="1:12" ht="26.25" customHeight="1">
      <c r="A21" s="13" t="s">
        <v>16</v>
      </c>
      <c r="B21" s="7">
        <v>46218</v>
      </c>
      <c r="C21" s="6" t="s">
        <v>72</v>
      </c>
      <c r="D21" s="6" t="s">
        <v>73</v>
      </c>
      <c r="E21" s="6"/>
      <c r="F21" s="6" t="s">
        <v>41</v>
      </c>
      <c r="G21" s="8">
        <v>20</v>
      </c>
      <c r="H21" s="6" t="s">
        <v>74</v>
      </c>
      <c r="I21" s="9" t="s">
        <v>174</v>
      </c>
      <c r="J21" s="9" t="s">
        <v>176</v>
      </c>
      <c r="K21" s="9"/>
      <c r="L21" s="14" t="s">
        <v>75</v>
      </c>
    </row>
    <row r="22" spans="1:12" ht="26.25" customHeight="1">
      <c r="A22" s="13" t="s">
        <v>16</v>
      </c>
      <c r="B22" s="7">
        <v>46220</v>
      </c>
      <c r="C22" s="6" t="s">
        <v>76</v>
      </c>
      <c r="D22" s="6" t="s">
        <v>66</v>
      </c>
      <c r="E22" s="6"/>
      <c r="F22" s="6" t="s">
        <v>41</v>
      </c>
      <c r="G22" s="8">
        <v>71.3</v>
      </c>
      <c r="H22" s="6" t="s">
        <v>42</v>
      </c>
      <c r="I22" s="9" t="s">
        <v>174</v>
      </c>
      <c r="J22" s="9" t="s">
        <v>176</v>
      </c>
      <c r="K22" s="9"/>
      <c r="L22" s="14" t="s">
        <v>77</v>
      </c>
    </row>
    <row r="23" spans="1:12" ht="26.25" customHeight="1">
      <c r="A23" s="13" t="s">
        <v>16</v>
      </c>
      <c r="B23" s="7">
        <v>46224</v>
      </c>
      <c r="C23" s="6" t="s">
        <v>78</v>
      </c>
      <c r="D23" s="6" t="s">
        <v>79</v>
      </c>
      <c r="E23" s="6"/>
      <c r="F23" s="6" t="s">
        <v>41</v>
      </c>
      <c r="G23" s="8">
        <v>550</v>
      </c>
      <c r="H23" s="6" t="s">
        <v>42</v>
      </c>
      <c r="I23" s="9" t="s">
        <v>174</v>
      </c>
      <c r="J23" s="9" t="s">
        <v>176</v>
      </c>
      <c r="K23" s="9"/>
      <c r="L23" s="14" t="s">
        <v>80</v>
      </c>
    </row>
    <row r="24" spans="1:12" ht="26.25" customHeight="1">
      <c r="A24" s="13" t="s">
        <v>16</v>
      </c>
      <c r="B24" s="7">
        <v>46225</v>
      </c>
      <c r="C24" s="6" t="s">
        <v>81</v>
      </c>
      <c r="D24" s="6" t="s">
        <v>82</v>
      </c>
      <c r="E24" s="6"/>
      <c r="F24" s="6" t="s">
        <v>41</v>
      </c>
      <c r="G24" s="8">
        <v>57.5</v>
      </c>
      <c r="H24" s="6" t="s">
        <v>42</v>
      </c>
      <c r="I24" s="9" t="s">
        <v>174</v>
      </c>
      <c r="J24" s="9" t="s">
        <v>176</v>
      </c>
      <c r="K24" s="9"/>
      <c r="L24" s="14" t="s">
        <v>83</v>
      </c>
    </row>
    <row r="25" spans="1:12" ht="26.25" customHeight="1">
      <c r="A25" s="13" t="s">
        <v>16</v>
      </c>
      <c r="B25" s="7">
        <v>46232</v>
      </c>
      <c r="C25" s="6" t="s">
        <v>84</v>
      </c>
      <c r="D25" s="6" t="s">
        <v>66</v>
      </c>
      <c r="E25" s="6"/>
      <c r="F25" s="6" t="s">
        <v>41</v>
      </c>
      <c r="G25" s="8">
        <v>70</v>
      </c>
      <c r="H25" s="6" t="s">
        <v>42</v>
      </c>
      <c r="I25" s="9" t="s">
        <v>174</v>
      </c>
      <c r="J25" s="9" t="s">
        <v>176</v>
      </c>
      <c r="K25" s="9"/>
      <c r="L25" s="14" t="s">
        <v>85</v>
      </c>
    </row>
    <row r="26" spans="1:12" ht="26.25" customHeight="1">
      <c r="A26" s="13" t="s">
        <v>16</v>
      </c>
      <c r="B26" s="7">
        <v>46239</v>
      </c>
      <c r="C26" s="6" t="s">
        <v>86</v>
      </c>
      <c r="D26" s="6" t="s">
        <v>87</v>
      </c>
      <c r="E26" s="6"/>
      <c r="F26" s="6" t="s">
        <v>41</v>
      </c>
      <c r="G26" s="8">
        <v>65</v>
      </c>
      <c r="H26" s="6" t="s">
        <v>42</v>
      </c>
      <c r="I26" s="9" t="s">
        <v>174</v>
      </c>
      <c r="J26" s="9" t="s">
        <v>176</v>
      </c>
      <c r="K26" s="9"/>
      <c r="L26" s="14" t="s">
        <v>88</v>
      </c>
    </row>
    <row r="27" spans="1:12" ht="26.25" customHeight="1">
      <c r="A27" s="13" t="s">
        <v>16</v>
      </c>
      <c r="B27" s="7">
        <v>46241</v>
      </c>
      <c r="C27" s="6" t="s">
        <v>89</v>
      </c>
      <c r="D27" s="6" t="s">
        <v>90</v>
      </c>
      <c r="E27" s="6"/>
      <c r="F27" s="6" t="s">
        <v>41</v>
      </c>
      <c r="G27" s="8">
        <v>60</v>
      </c>
      <c r="H27" s="6" t="s">
        <v>42</v>
      </c>
      <c r="I27" s="9" t="s">
        <v>174</v>
      </c>
      <c r="J27" s="9" t="s">
        <v>176</v>
      </c>
      <c r="K27" s="9"/>
      <c r="L27" s="14" t="s">
        <v>91</v>
      </c>
    </row>
    <row r="28" spans="1:12" ht="26.25" customHeight="1">
      <c r="A28" s="13" t="s">
        <v>16</v>
      </c>
      <c r="B28" s="7">
        <v>46242</v>
      </c>
      <c r="C28" s="6" t="s">
        <v>92</v>
      </c>
      <c r="D28" s="6" t="s">
        <v>93</v>
      </c>
      <c r="E28" s="6"/>
      <c r="F28" s="6" t="s">
        <v>41</v>
      </c>
      <c r="G28" s="8">
        <v>164.5</v>
      </c>
      <c r="H28" s="6" t="s">
        <v>42</v>
      </c>
      <c r="I28" s="9" t="s">
        <v>174</v>
      </c>
      <c r="J28" s="9" t="s">
        <v>176</v>
      </c>
      <c r="K28" s="9"/>
      <c r="L28" s="14" t="s">
        <v>94</v>
      </c>
    </row>
    <row r="29" spans="1:12" ht="26.25" customHeight="1">
      <c r="A29" s="13" t="s">
        <v>16</v>
      </c>
      <c r="B29" s="7">
        <v>46244</v>
      </c>
      <c r="C29" s="6" t="s">
        <v>95</v>
      </c>
      <c r="D29" s="6" t="s">
        <v>24</v>
      </c>
      <c r="E29" s="6" t="s">
        <v>59</v>
      </c>
      <c r="F29" s="6" t="s">
        <v>26</v>
      </c>
      <c r="G29" s="8">
        <v>30.02</v>
      </c>
      <c r="H29" s="6" t="s">
        <v>27</v>
      </c>
      <c r="I29" s="9" t="s">
        <v>174</v>
      </c>
      <c r="J29" s="9" t="s">
        <v>175</v>
      </c>
      <c r="K29" s="9"/>
      <c r="L29" s="14" t="s">
        <v>96</v>
      </c>
    </row>
    <row r="30" spans="1:12" ht="26.25" customHeight="1">
      <c r="A30" s="13" t="s">
        <v>16</v>
      </c>
      <c r="B30" s="7">
        <v>46248</v>
      </c>
      <c r="C30" s="6" t="s">
        <v>97</v>
      </c>
      <c r="D30" s="6" t="s">
        <v>98</v>
      </c>
      <c r="E30" s="6"/>
      <c r="F30" s="6" t="s">
        <v>41</v>
      </c>
      <c r="G30" s="8">
        <v>50</v>
      </c>
      <c r="H30" s="6" t="s">
        <v>42</v>
      </c>
      <c r="I30" s="9" t="s">
        <v>174</v>
      </c>
      <c r="J30" s="9" t="s">
        <v>176</v>
      </c>
      <c r="K30" s="9"/>
      <c r="L30" s="14" t="s">
        <v>99</v>
      </c>
    </row>
    <row r="31" spans="1:12" ht="26.25" customHeight="1">
      <c r="A31" s="13" t="s">
        <v>16</v>
      </c>
      <c r="B31" s="7">
        <v>46248</v>
      </c>
      <c r="C31" s="6" t="s">
        <v>100</v>
      </c>
      <c r="D31" s="6" t="s">
        <v>101</v>
      </c>
      <c r="E31" s="6"/>
      <c r="F31" s="6" t="s">
        <v>41</v>
      </c>
      <c r="G31" s="8">
        <v>35.01</v>
      </c>
      <c r="H31" s="6" t="s">
        <v>42</v>
      </c>
      <c r="I31" s="9" t="s">
        <v>174</v>
      </c>
      <c r="J31" s="9" t="s">
        <v>176</v>
      </c>
      <c r="K31" s="9"/>
      <c r="L31" s="14" t="s">
        <v>102</v>
      </c>
    </row>
    <row r="32" spans="1:12" ht="26.25" customHeight="1">
      <c r="A32" s="13" t="s">
        <v>16</v>
      </c>
      <c r="B32" s="7">
        <v>46248</v>
      </c>
      <c r="C32" s="6" t="s">
        <v>103</v>
      </c>
      <c r="D32" s="6" t="s">
        <v>104</v>
      </c>
      <c r="E32" s="6"/>
      <c r="F32" s="6" t="s">
        <v>41</v>
      </c>
      <c r="G32" s="8">
        <v>33.950000000000003</v>
      </c>
      <c r="H32" s="6" t="s">
        <v>42</v>
      </c>
      <c r="I32" s="9" t="s">
        <v>174</v>
      </c>
      <c r="J32" s="9" t="s">
        <v>176</v>
      </c>
      <c r="K32" s="9"/>
      <c r="L32" s="14" t="s">
        <v>105</v>
      </c>
    </row>
    <row r="33" spans="1:12" ht="26.25" customHeight="1">
      <c r="A33" s="13" t="s">
        <v>16</v>
      </c>
      <c r="B33" s="7">
        <v>46255</v>
      </c>
      <c r="C33" s="6" t="s">
        <v>106</v>
      </c>
      <c r="D33" s="6" t="s">
        <v>24</v>
      </c>
      <c r="E33" s="6" t="s">
        <v>59</v>
      </c>
      <c r="F33" s="6" t="s">
        <v>26</v>
      </c>
      <c r="G33" s="8">
        <v>108</v>
      </c>
      <c r="H33" s="6" t="s">
        <v>27</v>
      </c>
      <c r="I33" s="9" t="s">
        <v>174</v>
      </c>
      <c r="J33" s="9" t="s">
        <v>175</v>
      </c>
      <c r="K33" s="9"/>
      <c r="L33" s="14" t="s">
        <v>107</v>
      </c>
    </row>
    <row r="34" spans="1:12" ht="26.25" customHeight="1">
      <c r="A34" s="13" t="s">
        <v>16</v>
      </c>
      <c r="B34" s="7">
        <v>46255</v>
      </c>
      <c r="C34" s="6" t="s">
        <v>108</v>
      </c>
      <c r="D34" s="6" t="s">
        <v>66</v>
      </c>
      <c r="E34" s="6"/>
      <c r="F34" s="6" t="s">
        <v>41</v>
      </c>
      <c r="G34" s="8">
        <v>4</v>
      </c>
      <c r="H34" s="6" t="s">
        <v>42</v>
      </c>
      <c r="I34" s="9" t="s">
        <v>174</v>
      </c>
      <c r="J34" s="9" t="s">
        <v>176</v>
      </c>
      <c r="K34" s="9"/>
      <c r="L34" s="14" t="s">
        <v>109</v>
      </c>
    </row>
    <row r="35" spans="1:12" ht="26.25" customHeight="1">
      <c r="A35" s="13" t="s">
        <v>16</v>
      </c>
      <c r="B35" s="7">
        <v>46258</v>
      </c>
      <c r="C35" s="6" t="s">
        <v>110</v>
      </c>
      <c r="D35" s="6" t="s">
        <v>111</v>
      </c>
      <c r="E35" s="6"/>
      <c r="F35" s="6" t="s">
        <v>41</v>
      </c>
      <c r="G35" s="8">
        <v>86</v>
      </c>
      <c r="H35" s="6" t="s">
        <v>42</v>
      </c>
      <c r="I35" s="9" t="s">
        <v>174</v>
      </c>
      <c r="J35" s="9" t="s">
        <v>176</v>
      </c>
      <c r="K35" s="9"/>
      <c r="L35" s="14" t="s">
        <v>112</v>
      </c>
    </row>
    <row r="36" spans="1:12" ht="26.25" customHeight="1">
      <c r="A36" s="13" t="s">
        <v>16</v>
      </c>
      <c r="B36" s="7">
        <v>46261</v>
      </c>
      <c r="C36" s="6" t="s">
        <v>113</v>
      </c>
      <c r="D36" s="6" t="s">
        <v>114</v>
      </c>
      <c r="E36" s="6"/>
      <c r="F36" s="6" t="s">
        <v>41</v>
      </c>
      <c r="G36" s="8">
        <v>29.19</v>
      </c>
      <c r="H36" s="6" t="s">
        <v>42</v>
      </c>
      <c r="I36" s="9" t="s">
        <v>174</v>
      </c>
      <c r="J36" s="9" t="s">
        <v>176</v>
      </c>
      <c r="K36" s="9"/>
      <c r="L36" s="14" t="s">
        <v>115</v>
      </c>
    </row>
    <row r="37" spans="1:12" ht="26.25" customHeight="1">
      <c r="A37" s="13" t="s">
        <v>16</v>
      </c>
      <c r="B37" s="7">
        <v>46263</v>
      </c>
      <c r="C37" s="6" t="s">
        <v>116</v>
      </c>
      <c r="D37" s="6" t="s">
        <v>117</v>
      </c>
      <c r="E37" s="6"/>
      <c r="F37" s="6" t="s">
        <v>41</v>
      </c>
      <c r="G37" s="8">
        <v>212.75</v>
      </c>
      <c r="H37" s="6" t="s">
        <v>42</v>
      </c>
      <c r="I37" s="9" t="s">
        <v>174</v>
      </c>
      <c r="J37" s="9" t="s">
        <v>176</v>
      </c>
      <c r="K37" s="9"/>
      <c r="L37" s="14" t="s">
        <v>118</v>
      </c>
    </row>
    <row r="38" spans="1:12" ht="26.25" customHeight="1">
      <c r="A38" s="13" t="s">
        <v>16</v>
      </c>
      <c r="B38" s="7">
        <v>46271</v>
      </c>
      <c r="C38" s="6" t="s">
        <v>119</v>
      </c>
      <c r="D38" s="6" t="s">
        <v>111</v>
      </c>
      <c r="E38" s="6"/>
      <c r="F38" s="6" t="s">
        <v>41</v>
      </c>
      <c r="G38" s="8">
        <v>62</v>
      </c>
      <c r="H38" s="6" t="s">
        <v>42</v>
      </c>
      <c r="I38" s="9" t="s">
        <v>174</v>
      </c>
      <c r="J38" s="9" t="s">
        <v>176</v>
      </c>
      <c r="K38" s="9"/>
      <c r="L38" s="14" t="s">
        <v>120</v>
      </c>
    </row>
    <row r="39" spans="1:12" ht="26.25" customHeight="1">
      <c r="A39" s="13" t="s">
        <v>16</v>
      </c>
      <c r="B39" s="7">
        <v>46273</v>
      </c>
      <c r="C39" s="6" t="s">
        <v>121</v>
      </c>
      <c r="D39" s="6" t="s">
        <v>24</v>
      </c>
      <c r="E39" s="6" t="s">
        <v>59</v>
      </c>
      <c r="F39" s="6" t="s">
        <v>26</v>
      </c>
      <c r="G39" s="8">
        <v>108</v>
      </c>
      <c r="H39" s="6" t="s">
        <v>27</v>
      </c>
      <c r="I39" s="9" t="s">
        <v>174</v>
      </c>
      <c r="J39" s="9" t="s">
        <v>176</v>
      </c>
      <c r="K39" s="9"/>
      <c r="L39" s="14" t="s">
        <v>122</v>
      </c>
    </row>
    <row r="40" spans="1:12" ht="26.25" customHeight="1">
      <c r="A40" s="13" t="s">
        <v>16</v>
      </c>
      <c r="B40" s="7">
        <v>46273</v>
      </c>
      <c r="C40" s="6" t="s">
        <v>123</v>
      </c>
      <c r="D40" s="6" t="s">
        <v>117</v>
      </c>
      <c r="E40" s="6"/>
      <c r="F40" s="6" t="s">
        <v>41</v>
      </c>
      <c r="G40" s="8">
        <v>53</v>
      </c>
      <c r="H40" s="6" t="s">
        <v>42</v>
      </c>
      <c r="I40" s="9" t="s">
        <v>174</v>
      </c>
      <c r="J40" s="9" t="s">
        <v>176</v>
      </c>
      <c r="K40" s="9"/>
      <c r="L40" s="14" t="s">
        <v>124</v>
      </c>
    </row>
    <row r="41" spans="1:12" ht="26.25" customHeight="1">
      <c r="A41" s="15" t="s">
        <v>16</v>
      </c>
      <c r="B41" s="16">
        <v>46275</v>
      </c>
      <c r="C41" s="17" t="s">
        <v>125</v>
      </c>
      <c r="D41" s="17" t="s">
        <v>126</v>
      </c>
      <c r="E41" s="17"/>
      <c r="F41" s="17" t="s">
        <v>41</v>
      </c>
      <c r="G41" s="18">
        <v>60.25</v>
      </c>
      <c r="H41" s="17" t="s">
        <v>42</v>
      </c>
      <c r="I41" s="9" t="s">
        <v>174</v>
      </c>
      <c r="J41" s="9" t="s">
        <v>176</v>
      </c>
      <c r="K41" s="19"/>
      <c r="L41" s="20" t="s">
        <v>127</v>
      </c>
    </row>
  </sheetData>
  <conditionalFormatting sqref="I6:I41">
    <cfRule type="containsText" dxfId="2" priority="1" operator="containsText" text="رحّل"/>
    <cfRule type="containsText" dxfId="1" priority="2" operator="containsText" text="استبعد"/>
    <cfRule type="containsText" dxfId="0" priority="3" operator="containsText" text="احتاج توضيح"/>
  </conditionalFormatting>
  <dataValidations count="2">
    <dataValidation type="list" sqref="I6:I41" xr:uid="{00000000-0002-0000-0000-000000000000}">
      <formula1>"رحّل,استبعد,احتاج توضيح"</formula1>
    </dataValidation>
    <dataValidation type="list" sqref="J6:J41" xr:uid="{00000000-0002-0000-0000-000001000000}">
      <formula1>"400042 - صيانة وتشغيل,106002 - أثاث,106003 - أجهزة وإلكترونيات,400001 - مشتريات/مواد,400048 - وقود ومواصلات,400034 - تسويق,400046 - هدايا,400093 - رسوم حكومية وإقامات,أخرى"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13" customWidth="1"/>
    <col min="2" max="2" width="22" customWidth="1"/>
    <col min="3" max="3" width="20" customWidth="1"/>
    <col min="4" max="4" width="36" customWidth="1"/>
    <col min="5" max="5" width="15" customWidth="1"/>
  </cols>
  <sheetData>
    <row r="1" spans="1:5" ht="20.25">
      <c r="A1" s="1" t="s">
        <v>128</v>
      </c>
    </row>
    <row r="2" spans="1:5">
      <c r="A2" s="2" t="s">
        <v>129</v>
      </c>
    </row>
    <row r="3" spans="1:5">
      <c r="A3" s="3" t="s">
        <v>2</v>
      </c>
      <c r="B3" s="3">
        <v>23</v>
      </c>
      <c r="C3" s="3"/>
      <c r="D3" s="3" t="s">
        <v>130</v>
      </c>
      <c r="E3" s="4">
        <f>SUM(E6:E28)</f>
        <v>6165</v>
      </c>
    </row>
    <row r="5" spans="1:5">
      <c r="A5" s="10" t="s">
        <v>5</v>
      </c>
      <c r="B5" s="11" t="s">
        <v>6</v>
      </c>
      <c r="C5" s="11" t="s">
        <v>131</v>
      </c>
      <c r="D5" s="11" t="s">
        <v>132</v>
      </c>
      <c r="E5" s="12" t="s">
        <v>10</v>
      </c>
    </row>
    <row r="6" spans="1:5" ht="15" customHeight="1">
      <c r="A6" s="21">
        <v>46115</v>
      </c>
      <c r="B6" s="5" t="s">
        <v>133</v>
      </c>
      <c r="C6" s="5" t="s">
        <v>134</v>
      </c>
      <c r="D6" s="5" t="s">
        <v>59</v>
      </c>
      <c r="E6" s="22">
        <v>150</v>
      </c>
    </row>
    <row r="7" spans="1:5" ht="15" customHeight="1">
      <c r="A7" s="21">
        <v>46120</v>
      </c>
      <c r="B7" s="5" t="s">
        <v>135</v>
      </c>
      <c r="C7" s="5" t="s">
        <v>136</v>
      </c>
      <c r="D7" s="5" t="s">
        <v>59</v>
      </c>
      <c r="E7" s="22">
        <v>70</v>
      </c>
    </row>
    <row r="8" spans="1:5" ht="15" customHeight="1">
      <c r="A8" s="21">
        <v>46121</v>
      </c>
      <c r="B8" s="5" t="s">
        <v>137</v>
      </c>
      <c r="C8" s="5" t="s">
        <v>136</v>
      </c>
      <c r="D8" s="5" t="s">
        <v>59</v>
      </c>
      <c r="E8" s="22">
        <v>75</v>
      </c>
    </row>
    <row r="9" spans="1:5" ht="15" customHeight="1">
      <c r="A9" s="21">
        <v>46122</v>
      </c>
      <c r="B9" s="5" t="s">
        <v>138</v>
      </c>
      <c r="C9" s="5" t="s">
        <v>136</v>
      </c>
      <c r="D9" s="5" t="s">
        <v>59</v>
      </c>
      <c r="E9" s="22">
        <v>60</v>
      </c>
    </row>
    <row r="10" spans="1:5" ht="15" customHeight="1">
      <c r="A10" s="21">
        <v>46123</v>
      </c>
      <c r="B10" s="5" t="s">
        <v>139</v>
      </c>
      <c r="C10" s="5" t="s">
        <v>136</v>
      </c>
      <c r="D10" s="5" t="s">
        <v>59</v>
      </c>
      <c r="E10" s="22">
        <v>40</v>
      </c>
    </row>
    <row r="11" spans="1:5" ht="15" customHeight="1">
      <c r="A11" s="21">
        <v>46124</v>
      </c>
      <c r="B11" s="5" t="s">
        <v>140</v>
      </c>
      <c r="C11" s="5" t="s">
        <v>136</v>
      </c>
      <c r="D11" s="5" t="s">
        <v>59</v>
      </c>
      <c r="E11" s="22">
        <v>50</v>
      </c>
    </row>
    <row r="12" spans="1:5" ht="15" customHeight="1">
      <c r="A12" s="21">
        <v>46125</v>
      </c>
      <c r="B12" s="5" t="s">
        <v>141</v>
      </c>
      <c r="C12" s="5" t="s">
        <v>136</v>
      </c>
      <c r="D12" s="5" t="s">
        <v>59</v>
      </c>
      <c r="E12" s="22">
        <v>30</v>
      </c>
    </row>
    <row r="13" spans="1:5" ht="15" customHeight="1">
      <c r="A13" s="21">
        <v>46128</v>
      </c>
      <c r="B13" s="5" t="s">
        <v>142</v>
      </c>
      <c r="C13" s="5" t="s">
        <v>134</v>
      </c>
      <c r="D13" s="5" t="s">
        <v>143</v>
      </c>
      <c r="E13" s="22">
        <v>100</v>
      </c>
    </row>
    <row r="14" spans="1:5" ht="15" customHeight="1">
      <c r="A14" s="21">
        <v>46128</v>
      </c>
      <c r="B14" s="5" t="s">
        <v>144</v>
      </c>
      <c r="C14" s="5" t="s">
        <v>134</v>
      </c>
      <c r="D14" s="5" t="s">
        <v>145</v>
      </c>
      <c r="E14" s="22">
        <v>200</v>
      </c>
    </row>
    <row r="15" spans="1:5" ht="15" customHeight="1">
      <c r="A15" s="21">
        <v>46131</v>
      </c>
      <c r="B15" s="5" t="s">
        <v>146</v>
      </c>
      <c r="C15" s="5" t="s">
        <v>136</v>
      </c>
      <c r="D15" s="5" t="s">
        <v>147</v>
      </c>
      <c r="E15" s="22">
        <v>100</v>
      </c>
    </row>
    <row r="16" spans="1:5" ht="15" customHeight="1">
      <c r="A16" s="21">
        <v>46135</v>
      </c>
      <c r="B16" s="5" t="s">
        <v>148</v>
      </c>
      <c r="C16" s="5" t="s">
        <v>136</v>
      </c>
      <c r="D16" s="5" t="s">
        <v>149</v>
      </c>
      <c r="E16" s="22">
        <v>50</v>
      </c>
    </row>
    <row r="17" spans="1:5" ht="15" customHeight="1">
      <c r="A17" s="21">
        <v>46140</v>
      </c>
      <c r="B17" s="5" t="s">
        <v>150</v>
      </c>
      <c r="C17" s="5" t="s">
        <v>136</v>
      </c>
      <c r="D17" s="5" t="s">
        <v>151</v>
      </c>
      <c r="E17" s="22">
        <v>40</v>
      </c>
    </row>
    <row r="18" spans="1:5" ht="15" customHeight="1">
      <c r="A18" s="21">
        <v>46141</v>
      </c>
      <c r="B18" s="5" t="s">
        <v>152</v>
      </c>
      <c r="C18" s="5" t="s">
        <v>136</v>
      </c>
      <c r="D18" s="5" t="s">
        <v>153</v>
      </c>
      <c r="E18" s="22">
        <v>1000</v>
      </c>
    </row>
    <row r="19" spans="1:5" ht="15" customHeight="1">
      <c r="A19" s="21">
        <v>46142</v>
      </c>
      <c r="B19" s="5" t="s">
        <v>154</v>
      </c>
      <c r="C19" s="5" t="s">
        <v>134</v>
      </c>
      <c r="D19" s="5" t="s">
        <v>59</v>
      </c>
      <c r="E19" s="22">
        <v>1250</v>
      </c>
    </row>
    <row r="20" spans="1:5" ht="15" customHeight="1">
      <c r="A20" s="21">
        <v>46142</v>
      </c>
      <c r="B20" s="5" t="s">
        <v>155</v>
      </c>
      <c r="C20" s="5" t="s">
        <v>136</v>
      </c>
      <c r="D20" s="5" t="s">
        <v>151</v>
      </c>
      <c r="E20" s="22">
        <v>50</v>
      </c>
    </row>
    <row r="21" spans="1:5" ht="15" customHeight="1">
      <c r="A21" s="21">
        <v>46143</v>
      </c>
      <c r="B21" s="5" t="s">
        <v>156</v>
      </c>
      <c r="C21" s="5" t="s">
        <v>136</v>
      </c>
      <c r="D21" s="5" t="s">
        <v>157</v>
      </c>
      <c r="E21" s="22">
        <v>50</v>
      </c>
    </row>
    <row r="22" spans="1:5" ht="15" customHeight="1">
      <c r="A22" s="21">
        <v>46150</v>
      </c>
      <c r="B22" s="5" t="s">
        <v>158</v>
      </c>
      <c r="C22" s="5" t="s">
        <v>134</v>
      </c>
      <c r="D22" s="5" t="s">
        <v>159</v>
      </c>
      <c r="E22" s="22">
        <v>2500</v>
      </c>
    </row>
    <row r="23" spans="1:5" ht="15" customHeight="1">
      <c r="A23" s="21">
        <v>46154</v>
      </c>
      <c r="B23" s="5" t="s">
        <v>160</v>
      </c>
      <c r="C23" s="5" t="s">
        <v>136</v>
      </c>
      <c r="D23" s="5" t="s">
        <v>157</v>
      </c>
      <c r="E23" s="22">
        <v>50</v>
      </c>
    </row>
    <row r="24" spans="1:5" ht="15" customHeight="1">
      <c r="A24" s="21">
        <v>46154</v>
      </c>
      <c r="B24" s="5" t="s">
        <v>161</v>
      </c>
      <c r="C24" s="5" t="s">
        <v>136</v>
      </c>
      <c r="D24" s="5" t="s">
        <v>157</v>
      </c>
      <c r="E24" s="22">
        <v>100</v>
      </c>
    </row>
    <row r="25" spans="1:5" ht="15" customHeight="1">
      <c r="A25" s="21">
        <v>46160</v>
      </c>
      <c r="B25" s="5" t="s">
        <v>162</v>
      </c>
      <c r="C25" s="5" t="s">
        <v>136</v>
      </c>
      <c r="D25" s="5" t="s">
        <v>157</v>
      </c>
      <c r="E25" s="22">
        <v>50</v>
      </c>
    </row>
    <row r="26" spans="1:5" ht="15" customHeight="1">
      <c r="A26" s="21">
        <v>46163</v>
      </c>
      <c r="B26" s="5" t="s">
        <v>163</v>
      </c>
      <c r="C26" s="5" t="s">
        <v>136</v>
      </c>
      <c r="D26" s="5" t="s">
        <v>157</v>
      </c>
      <c r="E26" s="22">
        <v>50</v>
      </c>
    </row>
    <row r="27" spans="1:5" ht="15" customHeight="1">
      <c r="A27" s="21">
        <v>46194</v>
      </c>
      <c r="B27" s="5" t="s">
        <v>164</v>
      </c>
      <c r="C27" s="5" t="s">
        <v>136</v>
      </c>
      <c r="D27" s="5" t="s">
        <v>59</v>
      </c>
      <c r="E27" s="22">
        <v>50</v>
      </c>
    </row>
    <row r="28" spans="1:5" ht="15" customHeight="1">
      <c r="A28" s="23">
        <v>46194</v>
      </c>
      <c r="B28" s="24" t="s">
        <v>165</v>
      </c>
      <c r="C28" s="24" t="s">
        <v>136</v>
      </c>
      <c r="D28" s="24" t="s">
        <v>59</v>
      </c>
      <c r="E28" s="2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showGridLines="0" workbookViewId="0"/>
  </sheetViews>
  <sheetFormatPr defaultRowHeight="14.25"/>
  <cols>
    <col min="1" max="1" width="105" customWidth="1"/>
  </cols>
  <sheetData>
    <row r="1" spans="1:1" ht="20.25">
      <c r="A1" s="1" t="s">
        <v>166</v>
      </c>
    </row>
    <row r="3" spans="1:1" ht="15" customHeight="1">
      <c r="A3" s="26" t="s">
        <v>167</v>
      </c>
    </row>
    <row r="4" spans="1:1" ht="15" customHeight="1">
      <c r="A4" s="26" t="s">
        <v>168</v>
      </c>
    </row>
    <row r="5" spans="1:1" ht="15" customHeight="1">
      <c r="A5" s="26" t="s">
        <v>169</v>
      </c>
    </row>
    <row r="6" spans="1:1" ht="15" customHeight="1">
      <c r="A6" s="26" t="s">
        <v>170</v>
      </c>
    </row>
    <row r="7" spans="1:1" ht="15" customHeight="1">
      <c r="A7" s="26" t="s">
        <v>171</v>
      </c>
    </row>
    <row r="9" spans="1:1" ht="15" customHeight="1">
      <c r="A9" s="2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العمليات المعلقة</vt:lpstr>
      <vt:lpstr>الأجور المرحلة</vt:lpstr>
      <vt:lpstr>التعليمات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2026-09-13T13:54:49Z</dcterms:modified>
</cp:coreProperties>
</file>