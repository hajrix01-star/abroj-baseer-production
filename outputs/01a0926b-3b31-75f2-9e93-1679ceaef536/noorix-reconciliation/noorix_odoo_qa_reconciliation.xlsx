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7310d04db34f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ملخص" sheetId="1" r:id="R19e42e74ae544e8d"/>
    <x:sheet xmlns:r="http://schemas.openxmlformats.org/officeDocument/2006/relationships" name="تفصيل العمليات" sheetId="2" r:id="Rffcd8610d8c94b5f"/>
    <x:sheet xmlns:r="http://schemas.openxmlformats.org/officeDocument/2006/relationships" name="المستبعدات" sheetId="3" r:id="R3f9fec5c2d9f4a57"/>
    <x:sheet xmlns:r="http://schemas.openxmlformats.org/officeDocument/2006/relationships" name="المصادر والمنهجية" sheetId="4" r:id="Rbc6c7c6e5d7d4d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00;(#,##0.0000);-"/>
    <x:numFmt numFmtId="202" formatCode="#,##0.00;(#,##0.00);-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C4A57"/>
      <x:name val="Carlito"/>
    </x:font>
    <x:font>
      <x:b/>
      <x:sz val="11"/>
      <x:color rgb="FFFFFFFF"/>
      <x:name val="Carlito"/>
    </x:font>
    <x:font>
      <x:b/>
      <x:sz val="11"/>
      <x:color rgb="FF4A244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4A2443"/>
      </x:patternFill>
    </x:fill>
    <x:fill>
      <x:patternFill patternType="solid">
        <x:fgColor rgb="FFF5EEF3"/>
      </x:patternFill>
    </x:fill>
    <x:fill>
      <x:patternFill patternType="solid">
        <x:fgColor rgb="FF7A4D6D"/>
      </x:patternFill>
    </x:fill>
    <x:fill>
      <x:patternFill patternType="solid">
        <x:fgColor rgb="FFE9D8E4"/>
      </x:patternFill>
    </x:fill>
  </x:fills>
  <x:borders count="3">
    <x:border/>
    <x:border>
      <x:left style="thin">
        <x:color rgb="FFD9CCD5"/>
      </x:left>
      <x:right style="thin">
        <x:color rgb="FFD9CCD5"/>
      </x:right>
      <x:top style="thin">
        <x:color rgb="FFD9CCD5"/>
      </x:top>
      <x:bottom style="thin">
        <x:color rgb="FFD9CCD5"/>
      </x:bottom>
    </x:border>
    <x:border>
      <x:left style="thin">
        <x:color rgb="FFD9CCD5"/>
      </x:left>
      <x:right style="thin">
        <x:color rgb="FFD9CCD5"/>
      </x:right>
      <x:top style="thin">
        <x:color rgb="FFD9CCD5"/>
      </x:top>
      <x:bottom style="double">
        <x:color rgb="FF7A4D6D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right"/>
    </x:xf>
    <x:xf numFmtId="0" fontId="4" fillId="5" borderId="0" xfId="0" applyNumberFormat="1" applyFont="1" applyFill="1" applyBorder="1" applyAlignment="1">
      <x:alignment horizontal="right" vertical="center"/>
    </x:xf>
    <x:xf numFmtId="0" fontId="0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horizontal="right" vertical="center" wrapText="1"/>
    </x:xf>
    <x:xf numFmtId="200" fontId="1" fillId="2" borderId="0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2F6B31"/>
      </x:font>
      <x:fill>
        <x:patternFill patternType="solid">
          <x:bgColor rgb="FFE2F0D9"/>
        </x:patternFill>
      </x:fill>
    </x:dxf>
    <x:dxf>
      <x:font>
        <x:color rgb="FF9C3D1B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ffd51387ad4ae6" /><Relationship Type="http://schemas.openxmlformats.org/officeDocument/2006/relationships/theme" Target="/xl/theme/theme1.xml" Id="R9480f255d06d439b" /><Relationship Type="http://schemas.openxmlformats.org/officeDocument/2006/relationships/sharedStrings" Target="/xl/sharedStrings.xml" Id="R004daaed1af64718" /><Relationship Type="http://schemas.openxmlformats.org/officeDocument/2006/relationships/worksheet" Target="/xl/worksheets/sheet1.xml" Id="R19e42e74ae544e8d" /><Relationship Type="http://schemas.openxmlformats.org/officeDocument/2006/relationships/worksheet" Target="/xl/worksheets/sheet2.xml" Id="Rffcd8610d8c94b5f" /><Relationship Type="http://schemas.openxmlformats.org/officeDocument/2006/relationships/worksheet" Target="/xl/worksheets/sheet3.xml" Id="R3f9fec5c2d9f4a57" /><Relationship Type="http://schemas.openxmlformats.org/officeDocument/2006/relationships/worksheet" Target="/xl/worksheets/sheet4.xml" Id="Rbc6c7c6e5d7d4d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A4D6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4" hidden="0" customWidth="1"/>
    <x:col min="3" max="3" width="17" hidden="0" customWidth="1"/>
    <x:col min="4" max="4" width="14" hidden="0" customWidth="1"/>
    <x:col min="5" max="5" width="17" hidden="0" customWidth="1"/>
    <x:col min="6" max="6" width="15" hidden="0" customWidth="1"/>
    <x:col min="7" max="7" width="20" hidden="0" customWidth="1"/>
    <x:col min="8" max="8" width="46" hidden="0" customWidth="1"/>
  </x:cols>
  <x:sheetData>
    <x:row r="1" ht="28" customHeight="1">
      <x:c r="A1" s="4" t="str">
        <x:v>تسوية عمليات نوركس مع أودو — النسخة التجريبية</x:v>
      </x:c>
      <x:c r="B1" s="4"/>
      <x:c r="C1" s="4"/>
      <x:c r="D1" s="26"/>
      <x:c r="E1" s="27"/>
      <x:c r="F1" s="26"/>
      <x:c r="G1" s="28"/>
      <x:c r="H1" s="27"/>
    </x:row>
    <x:row r="2">
      <x:c r="A2" s="9" t="str">
        <x:v>حتى أرشيف نوركس الموحد بتاريخ 2026-09-13؛ جميع المبالغ بالريال السعودي والإجمالي شامل الضريبة حيث ينطبق</x:v>
      </x:c>
      <x:c r="B2" s="9"/>
      <x:c r="C2" s="9"/>
      <x:c r="D2" s="9"/>
      <x:c r="E2" s="9"/>
      <x:c r="F2" s="9"/>
      <x:c r="G2" s="9"/>
      <x:c r="H2" s="9"/>
    </x:row>
    <x:row r="4">
      <x:c r="A4" s="14" t="str">
        <x:v>النطاق</x:v>
      </x:c>
      <x:c r="B4" s="14" t="str">
        <x:v>سجلات المصدر</x:v>
      </x:c>
      <x:c r="C4" s="14" t="str">
        <x:v>مبلغ المصدر</x:v>
      </x:c>
      <x:c r="D4" s="14" t="str">
        <x:v>سجلات أودو</x:v>
      </x:c>
      <x:c r="E4" s="14" t="str">
        <x:v>مبلغ أودو</x:v>
      </x:c>
      <x:c r="F4" s="14" t="str">
        <x:v>الفرق</x:v>
      </x:c>
      <x:c r="G4" s="14" t="str">
        <x:v>الحالة</x:v>
      </x:c>
      <x:c r="H4" s="14" t="str">
        <x:v>ملاحظة</x:v>
      </x:c>
    </x:row>
    <x:row r="5">
      <x:c r="A5" s="17" t="str">
        <x:v>مبيعات الشركات التشغيلية الأربع</x:v>
      </x:c>
      <x:c r="B5" s="17" t="n">
        <x:v>670</x:v>
      </x:c>
      <x:c r="C5" s="32" t="n">
        <x:v>6168068.06</x:v>
      </x:c>
      <x:c r="D5" s="17" t="n">
        <x:v>669</x:v>
      </x:c>
      <x:c r="E5" s="33" t="n">
        <x:v>6168068.06</x:v>
      </x:c>
      <x:c r="F5" s="32" t="n">
        <x:v>0</x:v>
      </x:c>
      <x:c r="G5" s="17" t="str">
        <x:v>مطابق</x:v>
      </x:c>
      <x:c r="H5" s="17" t="str">
        <x:v>سجلا ARZ في 2026-05-26 مدمجان في ملخص واحد مع حفظ النسب</x:v>
      </x:c>
    </x:row>
    <x:row r="6">
      <x:c r="A6" s="17" t="str">
        <x:v>مشتريات ومصروفات وقت الكرك</x:v>
      </x:c>
      <x:c r="B6" s="17" t="n">
        <x:v>306</x:v>
      </x:c>
      <x:c r="C6" s="32" t="n">
        <x:v>63112.304</x:v>
      </x:c>
      <x:c r="D6" s="17" t="n">
        <x:v>306</x:v>
      </x:c>
      <x:c r="E6" s="33" t="n">
        <x:v>63112.3</x:v>
      </x:c>
      <x:c r="F6" s="32" t="n">
        <x:v>-0.004</x:v>
      </x:c>
      <x:c r="G6" s="17" t="str">
        <x:v>مطابق ضمن التقريب</x:v>
      </x:c>
      <x:c r="H6" s="17" t="str">
        <x:v>306 فاتورة مورد و306 دفعة أصلية</x:v>
      </x:c>
    </x:row>
    <x:row r="7">
      <x:c r="A7" s="17" t="str">
        <x:v>تسوية صافي راتب وقت الكرك المعتمدة</x:v>
      </x:c>
      <x:c r="B7" s="17" t="n">
        <x:v>1</x:v>
      </x:c>
      <x:c r="C7" s="32" t="n">
        <x:v>10216.67</x:v>
      </x:c>
      <x:c r="D7" s="17" t="n">
        <x:v>1</x:v>
      </x:c>
      <x:c r="E7" s="33" t="n">
        <x:v>10216.67</x:v>
      </x:c>
      <x:c r="F7" s="32" t="n">
        <x:v>0</x:v>
      </x:c>
      <x:c r="G7" s="17" t="str">
        <x:v>مطابق</x:v>
      </x:c>
      <x:c r="H7" s="17" t="str">
        <x:v>قيد بنك واحد؛ ليس استيراد مسير رواتب</x:v>
      </x:c>
    </x:row>
    <x:row r="8">
      <x:c r="A8" s="17" t="str">
        <x:v>الرواتب لجميع الشركات</x:v>
      </x:c>
      <x:c r="B8" s="17" t="n">
        <x:v>22</x:v>
      </x:c>
      <x:c r="C8" s="32" t="n">
        <x:v>425079.6783</x:v>
      </x:c>
      <x:c r="D8" s="17" t="n">
        <x:v>0</x:v>
      </x:c>
      <x:c r="E8" s="33" t="n">
        <x:v>0</x:v>
      </x:c>
      <x:c r="F8" s="32" t="n">
        <x:v>-425079.6783</x:v>
      </x:c>
      <x:c r="G8" s="17" t="str">
        <x:v>غير مرحّلة</x:v>
      </x:c>
      <x:c r="H8" s="17" t="str">
        <x:v>يمثل صفوف الرواتب غير المرحّلة فقط؛ لا يشمل تسوية PR-2605-001 أعلاه</x:v>
      </x:c>
    </x:row>
    <x:row r="9">
      <x:c r="A9" s="17" t="str">
        <x:v>مشتريات ومصروفات وأصول غير وقت الكرك</x:v>
      </x:c>
      <x:c r="B9" s="17" t="n">
        <x:v>2706</x:v>
      </x:c>
      <x:c r="C9" s="32" t="n">
        <x:v>2012659.083</x:v>
      </x:c>
      <x:c r="D9" s="17" t="n">
        <x:v>0</x:v>
      </x:c>
      <x:c r="E9" s="33" t="n">
        <x:v>0</x:v>
      </x:c>
      <x:c r="F9" s="32" t="n">
        <x:v>-2012659.083</x:v>
      </x:c>
      <x:c r="G9" s="17" t="str">
        <x:v>غير مرحّلة</x:v>
      </x:c>
      <x:c r="H9" s="17" t="str">
        <x:v>ARZ والمعلم والدوحة وSHAMI TAX؛ بيانات TEST مستبعدة</x:v>
      </x:c>
    </x:row>
    <x:row r="10">
      <x:c r="A10" s="17" t="str">
        <x:v>سلف الموظفين للشركات التشغيلية</x:v>
      </x:c>
      <x:c r="B10" s="17" t="n">
        <x:v>194</x:v>
      </x:c>
      <x:c r="C10" s="32" t="n">
        <x:v>154526</x:v>
      </x:c>
      <x:c r="D10" s="17" t="n">
        <x:v>0</x:v>
      </x:c>
      <x:c r="E10" s="33" t="n">
        <x:v>0</x:v>
      </x:c>
      <x:c r="F10" s="32" t="n">
        <x:v>-154526</x:v>
      </x:c>
      <x:c r="G10" s="17" t="str">
        <x:v>غير مرحّلة</x:v>
      </x:c>
      <x:c r="H10" s="17" t="str">
        <x:v>تحتاج قرار معالجة سلف ورصيد افتتاحي/تسوية</x:v>
      </x:c>
    </x:row>
    <x:row r="13">
      <x:c r="A13" s="21" t="str">
        <x:v>خلاصة الفجوات</x:v>
      </x:c>
      <x:c r="B13" s="21"/>
      <x:c r="C13" s="21"/>
      <x:c r="D13" s="21"/>
      <x:c r="E13" s="21"/>
      <x:c r="F13" s="21"/>
      <x:c r="G13" s="21"/>
      <x:c r="H13" s="21"/>
    </x:row>
    <x:row r="14">
      <x:c r="A14" s="17" t="str">
        <x:v>الشركات ذات خريطة QA</x:v>
      </x:c>
      <x:c r="B14" s="17" t="str">
        <x:v>ARZ، المعلم الشامي، دوحة المستهلك، وقت الكرك، وalias وقت الكرك</x:v>
      </x:c>
      <x:c r="C14" s="17"/>
      <x:c r="D14" s="17"/>
      <x:c r="E14" s="17"/>
      <x:c r="F14" s="17"/>
      <x:c r="G14" s="17"/>
      <x:c r="H14" s="17"/>
    </x:row>
    <x:row r="15">
      <x:c r="A15" s="17" t="str">
        <x:v>بلا خريطة شركة QA</x:v>
      </x:c>
      <x:c r="B15" s="17" t="str">
        <x:v>SHAMI TAX؛ TEST؛ TEST1</x:v>
      </x:c>
      <x:c r="C15" s="17"/>
      <x:c r="D15" s="17"/>
      <x:c r="E15" s="17"/>
      <x:c r="F15" s="17"/>
      <x:c r="G15" s="17"/>
      <x:c r="H15" s="17"/>
    </x:row>
    <x:row r="16">
      <x:c r="A16" s="17" t="str">
        <x:v>الملغيات</x:v>
      </x:c>
      <x:c r="B16" s="17" t="str">
        <x:v>لا تُرحّل؛ تحفظ كدليل فقط</x:v>
      </x:c>
      <x:c r="C16" s="17"/>
      <x:c r="D16" s="17"/>
      <x:c r="E16" s="17"/>
      <x:c r="F16" s="17"/>
      <x:c r="G16" s="17"/>
      <x:c r="H16" s="17"/>
    </x:row>
    <x:row r="17">
      <x:c r="A17" s="17" t="str">
        <x:v>شرط الترحيل التالي</x:v>
      </x:c>
      <x:c r="B17" s="17" t="str">
        <x:v>تقرير تسوية شركة × شهر × نوع × ضريبة × دفع، ثم موجات مستقلة قابلة للإعادة</x:v>
      </x:c>
      <x:c r="C17" s="17"/>
      <x:c r="D17" s="17"/>
      <x:c r="E17" s="17"/>
      <x:c r="F17" s="17"/>
      <x:c r="G17" s="17"/>
      <x:c r="H17" s="17"/>
    </x:row>
  </x:sheetData>
  <x:mergeCells>
    <x:mergeCell ref="A1:H1"/>
    <x:mergeCell ref="A2:H2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A4D6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5" hidden="0" customWidth="1"/>
    <x:col min="4" max="4" width="12" hidden="0" customWidth="1"/>
    <x:col min="5" max="5" width="17" hidden="0" customWidth="1"/>
    <x:col min="6" max="6" width="12" hidden="0" customWidth="1"/>
    <x:col min="7" max="7" width="17" hidden="0" customWidth="1"/>
    <x:col min="8" max="8" width="16" hidden="0" customWidth="1"/>
    <x:col min="9" max="9" width="20" hidden="0" customWidth="1"/>
    <x:col min="10" max="10" width="54" hidden="0" customWidth="1"/>
  </x:cols>
  <x:sheetData>
    <x:row r="1" ht="28" customHeight="1">
      <x:c r="A1" s="4" t="str">
        <x:v>تفصيل العمليات النشطة والمقارنة مع أودو QA</x:v>
      </x:c>
      <x:c r="B1" s="4"/>
      <x:c r="C1" s="4"/>
      <x:c r="D1" s="26"/>
      <x:c r="E1" s="27"/>
      <x:c r="F1" s="26"/>
      <x:c r="G1" s="28"/>
      <x:c r="H1" s="27"/>
      <x:c r="I1" s="4"/>
      <x:c r="J1" s="4"/>
    </x:row>
    <x:row r="3">
      <x:c r="A3" s="14" t="str">
        <x:v>الشركة</x:v>
      </x:c>
      <x:c r="B3" s="14" t="str">
        <x:v>حالة الشركة</x:v>
      </x:c>
      <x:c r="C3" s="14" t="str">
        <x:v>نوع العملية</x:v>
      </x:c>
      <x:c r="D3" s="14" t="str">
        <x:v>عدد المصدر</x:v>
      </x:c>
      <x:c r="E3" s="14" t="str">
        <x:v>إجمالي المصدر</x:v>
      </x:c>
      <x:c r="F3" s="14" t="str">
        <x:v>عدد أودو</x:v>
      </x:c>
      <x:c r="G3" s="14" t="str">
        <x:v>إجمالي أودو</x:v>
      </x:c>
      <x:c r="H3" s="14" t="str">
        <x:v>الفرق</x:v>
      </x:c>
      <x:c r="I3" s="14" t="str">
        <x:v>الحالة</x:v>
      </x:c>
      <x:c r="J3" s="14" t="str">
        <x:v>المعالجة أو الملاحظة</x:v>
      </x:c>
    </x:row>
    <x:row r="4">
      <x:c r="A4" s="17" t="str">
        <x:v>ARZ</x:v>
      </x:c>
      <x:c r="B4" s="17" t="str">
        <x:v>نشطة</x:v>
      </x:c>
      <x:c r="C4" s="17" t="str">
        <x:v>مبيعات</x:v>
      </x:c>
      <x:c r="D4" s="17" t="n">
        <x:v>240</x:v>
      </x:c>
      <x:c r="E4" s="17" t="n">
        <x:v>2154301</x:v>
      </x:c>
      <x:c r="F4" s="17" t="n">
        <x:v>239</x:v>
      </x:c>
      <x:c r="G4" s="17" t="n">
        <x:v>2154301</x:v>
      </x:c>
      <x:c r="H4" s="17" t="n">
        <x:f>G4-E4</x:f>
        <x:v>0</x:v>
      </x:c>
      <x:c r="I4" s="17" t="str">
        <x:v>مطابق</x:v>
      </x:c>
      <x:c r="J4" s="17" t="str">
        <x:v>دمج معتمد لسجلين في 2026-05-26 إلى ملخص واحد</x:v>
      </x:c>
    </x:row>
    <x:row r="5">
      <x:c r="A5" s="17" t="str">
        <x:v>ARZ</x:v>
      </x:c>
      <x:c r="B5" s="17" t="str">
        <x:v>نشطة</x:v>
      </x:c>
      <x:c r="C5" s="17" t="str">
        <x:v>مشتريات</x:v>
      </x:c>
      <x:c r="D5" s="17" t="n">
        <x:v>757</x:v>
      </x:c>
      <x:c r="E5" s="17" t="n">
        <x:v>257647.613</x:v>
      </x:c>
      <x:c r="F5" s="17" t="n">
        <x:v>0</x:v>
      </x:c>
      <x:c r="G5" s="17" t="n">
        <x:v>0</x:v>
      </x:c>
      <x:c r="H5" s="17" t="n">
        <x:f>G5-E5</x:f>
        <x:v>-257647.613</x:v>
      </x:c>
      <x:c r="I5" s="17" t="str">
        <x:v>لم يرحل</x:v>
      </x:c>
      <x:c r="J5" s="17" t="str">
        <x:v>يتطلب موجة مشتريات مستقلة</x:v>
      </x:c>
    </x:row>
    <x:row r="6">
      <x:c r="A6" s="17" t="str">
        <x:v>ARZ</x:v>
      </x:c>
      <x:c r="B6" s="17" t="str">
        <x:v>نشطة</x:v>
      </x:c>
      <x:c r="C6" s="17" t="str">
        <x:v>مصروفات</x:v>
      </x:c>
      <x:c r="D6" s="17" t="n">
        <x:v>72</x:v>
      </x:c>
      <x:c r="E6" s="17" t="n">
        <x:v>83677.05</x:v>
      </x:c>
      <x:c r="F6" s="17" t="n">
        <x:v>0</x:v>
      </x:c>
      <x:c r="G6" s="17" t="n">
        <x:v>0</x:v>
      </x:c>
      <x:c r="H6" s="17" t="n">
        <x:f>G6-E6</x:f>
        <x:v>-83677.05</x:v>
      </x:c>
      <x:c r="I6" s="17" t="str">
        <x:v>لم يرحل</x:v>
      </x:c>
      <x:c r="J6" s="17" t="str">
        <x:v>يتطلب موجة مستقلة</x:v>
      </x:c>
    </x:row>
    <x:row r="7">
      <x:c r="A7" s="17" t="str">
        <x:v>ARZ</x:v>
      </x:c>
      <x:c r="B7" s="17" t="str">
        <x:v>نشطة</x:v>
      </x:c>
      <x:c r="C7" s="17" t="str">
        <x:v>مصروفات ثابتة</x:v>
      </x:c>
      <x:c r="D7" s="17" t="n">
        <x:v>32</x:v>
      </x:c>
      <x:c r="E7" s="17" t="n">
        <x:v>237273.38</x:v>
      </x:c>
      <x:c r="F7" s="17" t="n">
        <x:v>0</x:v>
      </x:c>
      <x:c r="G7" s="17" t="n">
        <x:v>0</x:v>
      </x:c>
      <x:c r="H7" s="17" t="n">
        <x:f>G7-E7</x:f>
        <x:v>-237273.38</x:v>
      </x:c>
      <x:c r="I7" s="17" t="str">
        <x:v>لم يرحل</x:v>
      </x:c>
      <x:c r="J7" s="17" t="str">
        <x:v>الأصول والإهلاك خارج النطاق الحالي</x:v>
      </x:c>
    </x:row>
    <x:row r="8">
      <x:c r="A8" s="17" t="str">
        <x:v>ARZ</x:v>
      </x:c>
      <x:c r="B8" s="17" t="str">
        <x:v>نشطة</x:v>
      </x:c>
      <x:c r="C8" s="17" t="str">
        <x:v>رواتب</x:v>
      </x:c>
      <x:c r="D8" s="17" t="n">
        <x:v>8</x:v>
      </x:c>
      <x:c r="E8" s="17" t="n">
        <x:v>184284.73</x:v>
      </x:c>
      <x:c r="F8" s="17" t="n">
        <x:v>0</x:v>
      </x:c>
      <x:c r="G8" s="17" t="n">
        <x:v>0</x:v>
      </x:c>
      <x:c r="H8" s="17" t="n">
        <x:f>G8-E8</x:f>
        <x:v>-184284.73</x:v>
      </x:c>
      <x:c r="I8" s="17" t="str">
        <x:v>لم يرحل</x:v>
      </x:c>
      <x:c r="J8" s="17" t="str">
        <x:v>7 مسيرات رواتب في المصدر</x:v>
      </x:c>
    </x:row>
    <x:row r="9">
      <x:c r="A9" s="17" t="str">
        <x:v>ARZ</x:v>
      </x:c>
      <x:c r="B9" s="17" t="str">
        <x:v>نشطة</x:v>
      </x:c>
      <x:c r="C9" s="17" t="str">
        <x:v>سلف موظفين</x:v>
      </x:c>
      <x:c r="D9" s="17" t="n">
        <x:v>38</x:v>
      </x:c>
      <x:c r="E9" s="17" t="n">
        <x:v>40016</x:v>
      </x:c>
      <x:c r="F9" s="17" t="n">
        <x:v>0</x:v>
      </x:c>
      <x:c r="G9" s="17" t="n">
        <x:v>0</x:v>
      </x:c>
      <x:c r="H9" s="17" t="n">
        <x:f>G9-E9</x:f>
        <x:v>-40016</x:v>
      </x:c>
      <x:c r="I9" s="17" t="str">
        <x:v>لم يرحل</x:v>
      </x:c>
      <x:c r="J9" s="17" t="str">
        <x:v>38 سجلًا نشطًا</x:v>
      </x:c>
    </x:row>
    <x:row r="10">
      <x:c r="A10" s="17" t="str">
        <x:v>ARZ</x:v>
      </x:c>
      <x:c r="B10" s="17" t="str">
        <x:v>نشطة</x:v>
      </x:c>
      <x:c r="C10" s="17" t="str">
        <x:v>مصروفات موظفين</x:v>
      </x:c>
      <x:c r="D10" s="17" t="n">
        <x:v>6</x:v>
      </x:c>
      <x:c r="E10" s="17" t="n">
        <x:v>7413</x:v>
      </x:c>
      <x:c r="F10" s="17" t="n">
        <x:v>0</x:v>
      </x:c>
      <x:c r="G10" s="17" t="n">
        <x:v>0</x:v>
      </x:c>
      <x:c r="H10" s="17" t="n">
        <x:f>G10-E10</x:f>
        <x:v>-7413</x:v>
      </x:c>
      <x:c r="I10" s="17" t="str">
        <x:v>لم يرحل</x:v>
      </x:c>
      <x:c r="J10" s="17" t="str">
        <x:v>يتطلب عقد HR مستقل</x:v>
      </x:c>
    </x:row>
    <x:row r="11">
      <x:c r="A11" s="17" t="str">
        <x:v>المعلم الشامي</x:v>
      </x:c>
      <x:c r="B11" s="17" t="str">
        <x:v>نشطة</x:v>
      </x:c>
      <x:c r="C11" s="17" t="str">
        <x:v>مبيعات</x:v>
      </x:c>
      <x:c r="D11" s="17" t="n">
        <x:v>164</x:v>
      </x:c>
      <x:c r="E11" s="17" t="n">
        <x:v>1518655</x:v>
      </x:c>
      <x:c r="F11" s="17" t="n">
        <x:v>164</x:v>
      </x:c>
      <x:c r="G11" s="17" t="n">
        <x:v>1518655</x:v>
      </x:c>
      <x:c r="H11" s="17" t="n">
        <x:f>G11-E11</x:f>
        <x:v>0</x:v>
      </x:c>
      <x:c r="I11" s="17" t="str">
        <x:v>مطابق</x:v>
      </x:c>
      <x:c r="J11" s="17" t="str">
        <x:v>مطابقة كاملة</x:v>
      </x:c>
    </x:row>
    <x:row r="12">
      <x:c r="A12" s="17" t="str">
        <x:v>المعلم الشامي</x:v>
      </x:c>
      <x:c r="B12" s="17" t="str">
        <x:v>نشطة</x:v>
      </x:c>
      <x:c r="C12" s="17" t="str">
        <x:v>مشتريات</x:v>
      </x:c>
      <x:c r="D12" s="17" t="n">
        <x:v>1322</x:v>
      </x:c>
      <x:c r="E12" s="17" t="n">
        <x:v>642141.1</x:v>
      </x:c>
      <x:c r="F12" s="17" t="n">
        <x:v>0</x:v>
      </x:c>
      <x:c r="G12" s="17" t="n">
        <x:v>0</x:v>
      </x:c>
      <x:c r="H12" s="17" t="n">
        <x:f>G12-E12</x:f>
        <x:v>-642141.1</x:v>
      </x:c>
      <x:c r="I12" s="17" t="str">
        <x:v>لم يرحل</x:v>
      </x:c>
      <x:c r="J12" s="17" t="str">
        <x:v>يتطلب موجة مشتريات مستقلة</x:v>
      </x:c>
    </x:row>
    <x:row r="13">
      <x:c r="A13" s="17" t="str">
        <x:v>المعلم الشامي</x:v>
      </x:c>
      <x:c r="B13" s="17" t="str">
        <x:v>نشطة</x:v>
      </x:c>
      <x:c r="C13" s="17" t="str">
        <x:v>مصروفات</x:v>
      </x:c>
      <x:c r="D13" s="17" t="n">
        <x:v>193</x:v>
      </x:c>
      <x:c r="E13" s="17" t="n">
        <x:v>69594.57</x:v>
      </x:c>
      <x:c r="F13" s="17" t="n">
        <x:v>0</x:v>
      </x:c>
      <x:c r="G13" s="17" t="n">
        <x:v>0</x:v>
      </x:c>
      <x:c r="H13" s="17" t="n">
        <x:f>G13-E13</x:f>
        <x:v>-69594.57</x:v>
      </x:c>
      <x:c r="I13" s="17" t="str">
        <x:v>لم يرحل</x:v>
      </x:c>
      <x:c r="J13" s="17" t="str">
        <x:v>يتطلب موجة مستقلة</x:v>
      </x:c>
    </x:row>
    <x:row r="14">
      <x:c r="A14" s="17" t="str">
        <x:v>المعلم الشامي</x:v>
      </x:c>
      <x:c r="B14" s="17" t="str">
        <x:v>نشطة</x:v>
      </x:c>
      <x:c r="C14" s="17" t="str">
        <x:v>مصروفات ثابتة</x:v>
      </x:c>
      <x:c r="D14" s="17" t="n">
        <x:v>16</x:v>
      </x:c>
      <x:c r="E14" s="17" t="n">
        <x:v>115599.92</x:v>
      </x:c>
      <x:c r="F14" s="17" t="n">
        <x:v>0</x:v>
      </x:c>
      <x:c r="G14" s="17" t="n">
        <x:v>0</x:v>
      </x:c>
      <x:c r="H14" s="17" t="n">
        <x:f>G14-E14</x:f>
        <x:v>-115599.92</x:v>
      </x:c>
      <x:c r="I14" s="17" t="str">
        <x:v>لم يرحل</x:v>
      </x:c>
      <x:c r="J14" s="17" t="str">
        <x:v>الأصول والإهلاك خارج النطاق الحالي</x:v>
      </x:c>
    </x:row>
    <x:row r="15">
      <x:c r="A15" s="17" t="str">
        <x:v>المعلم الشامي</x:v>
      </x:c>
      <x:c r="B15" s="17" t="str">
        <x:v>نشطة</x:v>
      </x:c>
      <x:c r="C15" s="17" t="str">
        <x:v>رواتب</x:v>
      </x:c>
      <x:c r="D15" s="17" t="n">
        <x:v>8</x:v>
      </x:c>
      <x:c r="E15" s="17" t="n">
        <x:v>166690.0383</x:v>
      </x:c>
      <x:c r="F15" s="17" t="n">
        <x:v>0</x:v>
      </x:c>
      <x:c r="G15" s="17" t="n">
        <x:v>0</x:v>
      </x:c>
      <x:c r="H15" s="17" t="n">
        <x:f>G15-E15</x:f>
        <x:v>-166690.0383</x:v>
      </x:c>
      <x:c r="I15" s="17" t="str">
        <x:v>لم يرحل</x:v>
      </x:c>
      <x:c r="J15" s="17" t="str">
        <x:v>8 مسيرات رواتب في المصدر</x:v>
      </x:c>
    </x:row>
    <x:row r="16">
      <x:c r="A16" s="17" t="str">
        <x:v>المعلم الشامي</x:v>
      </x:c>
      <x:c r="B16" s="17" t="str">
        <x:v>نشطة</x:v>
      </x:c>
      <x:c r="C16" s="17" t="str">
        <x:v>سلف موظفين</x:v>
      </x:c>
      <x:c r="D16" s="17" t="n">
        <x:v>124</x:v>
      </x:c>
      <x:c r="E16" s="17" t="n">
        <x:v>99850</x:v>
      </x:c>
      <x:c r="F16" s="17" t="n">
        <x:v>0</x:v>
      </x:c>
      <x:c r="G16" s="17" t="n">
        <x:v>0</x:v>
      </x:c>
      <x:c r="H16" s="17" t="n">
        <x:f>G16-E16</x:f>
        <x:v>-99850</x:v>
      </x:c>
      <x:c r="I16" s="17" t="str">
        <x:v>لم يرحل</x:v>
      </x:c>
      <x:c r="J16" s="17" t="str">
        <x:v>124 سجلًا نشطًا</x:v>
      </x:c>
    </x:row>
    <x:row r="17">
      <x:c r="A17" s="17" t="str">
        <x:v>المعلم الشامي</x:v>
      </x:c>
      <x:c r="B17" s="17" t="str">
        <x:v>نشطة</x:v>
      </x:c>
      <x:c r="C17" s="17" t="str">
        <x:v>مصروفات موظفين</x:v>
      </x:c>
      <x:c r="D17" s="17" t="n">
        <x:v>10</x:v>
      </x:c>
      <x:c r="E17" s="17" t="n">
        <x:v>10806</x:v>
      </x:c>
      <x:c r="F17" s="17" t="n">
        <x:v>0</x:v>
      </x:c>
      <x:c r="G17" s="17" t="n">
        <x:v>0</x:v>
      </x:c>
      <x:c r="H17" s="17" t="n">
        <x:f>G17-E17</x:f>
        <x:v>-10806</x:v>
      </x:c>
      <x:c r="I17" s="17" t="str">
        <x:v>لم يرحل</x:v>
      </x:c>
      <x:c r="J17" s="17" t="str">
        <x:v>يتطلب عقد HR مستقل</x:v>
      </x:c>
    </x:row>
    <x:row r="18">
      <x:c r="A18" s="17" t="str">
        <x:v>دوحة المستهلك</x:v>
      </x:c>
      <x:c r="B18" s="17" t="str">
        <x:v>نشطة</x:v>
      </x:c>
      <x:c r="C18" s="17" t="str">
        <x:v>مبيعات</x:v>
      </x:c>
      <x:c r="D18" s="17" t="n">
        <x:v>164</x:v>
      </x:c>
      <x:c r="E18" s="17" t="n">
        <x:v>472467</x:v>
      </x:c>
      <x:c r="F18" s="17" t="n">
        <x:v>164</x:v>
      </x:c>
      <x:c r="G18" s="17" t="n">
        <x:v>472467</x:v>
      </x:c>
      <x:c r="H18" s="17" t="n">
        <x:f>G18-E18</x:f>
        <x:v>0</x:v>
      </x:c>
      <x:c r="I18" s="17" t="str">
        <x:v>مطابق</x:v>
      </x:c>
      <x:c r="J18" s="17" t="str">
        <x:v>مطابقة كاملة</x:v>
      </x:c>
    </x:row>
    <x:row r="19">
      <x:c r="A19" s="17" t="str">
        <x:v>دوحة المستهلك</x:v>
      </x:c>
      <x:c r="B19" s="17" t="str">
        <x:v>نشطة</x:v>
      </x:c>
      <x:c r="C19" s="17" t="str">
        <x:v>مشتريات</x:v>
      </x:c>
      <x:c r="D19" s="17" t="n">
        <x:v>245</x:v>
      </x:c>
      <x:c r="E19" s="17" t="n">
        <x:v>289362.74</x:v>
      </x:c>
      <x:c r="F19" s="17" t="n">
        <x:v>0</x:v>
      </x:c>
      <x:c r="G19" s="17" t="n">
        <x:v>0</x:v>
      </x:c>
      <x:c r="H19" s="17" t="n">
        <x:f>G19-E19</x:f>
        <x:v>-289362.74</x:v>
      </x:c>
      <x:c r="I19" s="17" t="str">
        <x:v>لم يرحل</x:v>
      </x:c>
      <x:c r="J19" s="17" t="str">
        <x:v>يتطلب موجة مشتريات مستقلة</x:v>
      </x:c>
    </x:row>
    <x:row r="20">
      <x:c r="A20" s="17" t="str">
        <x:v>دوحة المستهلك</x:v>
      </x:c>
      <x:c r="B20" s="17" t="str">
        <x:v>نشطة</x:v>
      </x:c>
      <x:c r="C20" s="17" t="str">
        <x:v>مصروفات</x:v>
      </x:c>
      <x:c r="D20" s="17" t="n">
        <x:v>4</x:v>
      </x:c>
      <x:c r="E20" s="17" t="n">
        <x:v>1100</x:v>
      </x:c>
      <x:c r="F20" s="17" t="n">
        <x:v>0</x:v>
      </x:c>
      <x:c r="G20" s="17" t="n">
        <x:v>0</x:v>
      </x:c>
      <x:c r="H20" s="17" t="n">
        <x:f>G20-E20</x:f>
        <x:v>-1100</x:v>
      </x:c>
      <x:c r="I20" s="17" t="str">
        <x:v>لم يرحل</x:v>
      </x:c>
      <x:c r="J20" s="17" t="str">
        <x:v>يتطلب موجة مستقلة</x:v>
      </x:c>
    </x:row>
    <x:row r="21">
      <x:c r="A21" s="17" t="str">
        <x:v>دوحة المستهلك</x:v>
      </x:c>
      <x:c r="B21" s="17" t="str">
        <x:v>نشطة</x:v>
      </x:c>
      <x:c r="C21" s="17" t="str">
        <x:v>مصروفات ثابتة</x:v>
      </x:c>
      <x:c r="D21" s="17" t="n">
        <x:v>10</x:v>
      </x:c>
      <x:c r="E21" s="17" t="n">
        <x:v>18073.71</x:v>
      </x:c>
      <x:c r="F21" s="17" t="n">
        <x:v>0</x:v>
      </x:c>
      <x:c r="G21" s="17" t="n">
        <x:v>0</x:v>
      </x:c>
      <x:c r="H21" s="17" t="n">
        <x:f>G21-E21</x:f>
        <x:v>-18073.71</x:v>
      </x:c>
      <x:c r="I21" s="17" t="str">
        <x:v>لم يرحل</x:v>
      </x:c>
      <x:c r="J21" s="17" t="str">
        <x:v>الأصول والإهلاك خارج النطاق الحالي</x:v>
      </x:c>
    </x:row>
    <x:row r="22">
      <x:c r="A22" s="17" t="str">
        <x:v>دوحة المستهلك</x:v>
      </x:c>
      <x:c r="B22" s="17" t="str">
        <x:v>نشطة</x:v>
      </x:c>
      <x:c r="C22" s="17" t="str">
        <x:v>رواتب</x:v>
      </x:c>
      <x:c r="D22" s="17" t="n">
        <x:v>3</x:v>
      </x:c>
      <x:c r="E22" s="17" t="n">
        <x:v>52700.1</x:v>
      </x:c>
      <x:c r="F22" s="17" t="n">
        <x:v>0</x:v>
      </x:c>
      <x:c r="G22" s="17" t="n">
        <x:v>0</x:v>
      </x:c>
      <x:c r="H22" s="17" t="n">
        <x:f>G22-E22</x:f>
        <x:v>-52700.1</x:v>
      </x:c>
      <x:c r="I22" s="17" t="str">
        <x:v>لم يرحل</x:v>
      </x:c>
      <x:c r="J22" s="17" t="str">
        <x:v>3 مسيرات رواتب في المصدر</x:v>
      </x:c>
    </x:row>
    <x:row r="23">
      <x:c r="A23" s="17" t="str">
        <x:v>دوحة المستهلك</x:v>
      </x:c>
      <x:c r="B23" s="17" t="str">
        <x:v>نشطة</x:v>
      </x:c>
      <x:c r="C23" s="17" t="str">
        <x:v>سلف موظفين</x:v>
      </x:c>
      <x:c r="D23" s="17" t="n">
        <x:v>8</x:v>
      </x:c>
      <x:c r="E23" s="17" t="n">
        <x:v>1760</x:v>
      </x:c>
      <x:c r="F23" s="17" t="n">
        <x:v>0</x:v>
      </x:c>
      <x:c r="G23" s="17" t="n">
        <x:v>0</x:v>
      </x:c>
      <x:c r="H23" s="17" t="n">
        <x:f>G23-E23</x:f>
        <x:v>-1760</x:v>
      </x:c>
      <x:c r="I23" s="17" t="str">
        <x:v>لم يرحل</x:v>
      </x:c>
      <x:c r="J23" s="17" t="str">
        <x:v>8 سجلات نشطة</x:v>
      </x:c>
    </x:row>
    <x:row r="24">
      <x:c r="A24" s="17" t="str">
        <x:v>دوحة المستهلك</x:v>
      </x:c>
      <x:c r="B24" s="17" t="str">
        <x:v>نشطة</x:v>
      </x:c>
      <x:c r="C24" s="17" t="str">
        <x:v>مصروفات موظفين</x:v>
      </x:c>
      <x:c r="D24" s="17" t="n">
        <x:v>3</x:v>
      </x:c>
      <x:c r="E24" s="17" t="n">
        <x:v>4490</x:v>
      </x:c>
      <x:c r="F24" s="17" t="n">
        <x:v>0</x:v>
      </x:c>
      <x:c r="G24" s="17" t="n">
        <x:v>0</x:v>
      </x:c>
      <x:c r="H24" s="17" t="n">
        <x:f>G24-E24</x:f>
        <x:v>-4490</x:v>
      </x:c>
      <x:c r="I24" s="17" t="str">
        <x:v>لم يرحل</x:v>
      </x:c>
      <x:c r="J24" s="17" t="str">
        <x:v>يتطلب عقد HR مستقل</x:v>
      </x:c>
    </x:row>
    <x:row r="25">
      <x:c r="A25" s="17" t="str">
        <x:v>وقت الكرك</x:v>
      </x:c>
      <x:c r="B25" s="17" t="str">
        <x:v>نشطة</x:v>
      </x:c>
      <x:c r="C25" s="17" t="str">
        <x:v>مبيعات</x:v>
      </x:c>
      <x:c r="D25" s="17" t="n">
        <x:v>102</x:v>
      </x:c>
      <x:c r="E25" s="17" t="n">
        <x:v>2022645.06</x:v>
      </x:c>
      <x:c r="F25" s="17" t="n">
        <x:v>102</x:v>
      </x:c>
      <x:c r="G25" s="17" t="n">
        <x:v>2022645.06</x:v>
      </x:c>
      <x:c r="H25" s="17" t="n">
        <x:f>G25-E25</x:f>
        <x:v>0</x:v>
      </x:c>
      <x:c r="I25" s="17" t="str">
        <x:v>مطابق</x:v>
      </x:c>
      <x:c r="J25" s="17" t="str">
        <x:v>مطابقة كاملة</x:v>
      </x:c>
    </x:row>
    <x:row r="26">
      <x:c r="A26" s="17" t="str">
        <x:v>وقت الكرك</x:v>
      </x:c>
      <x:c r="B26" s="17" t="str">
        <x:v>نشطة</x:v>
      </x:c>
      <x:c r="C26" s="17" t="str">
        <x:v>مشتريات ومصروفات وأصول</x:v>
      </x:c>
      <x:c r="D26" s="17" t="n">
        <x:v>306</x:v>
      </x:c>
      <x:c r="E26" s="17" t="n">
        <x:v>63112.304</x:v>
      </x:c>
      <x:c r="F26" s="17" t="n">
        <x:v>306</x:v>
      </x:c>
      <x:c r="G26" s="17" t="n">
        <x:v>63112.3</x:v>
      </x:c>
      <x:c r="H26" s="17" t="n">
        <x:f>G26-E26</x:f>
        <x:v>-0.00399999999353895</x:v>
      </x:c>
      <x:c r="I26" s="17" t="str">
        <x:v>مطابق ضمن التقريب</x:v>
      </x:c>
      <x:c r="J26" s="17" t="str">
        <x:v>306 فاتورة مورد و306 دفعة؛ فرق SAR -0.004 من التقريب</x:v>
      </x:c>
    </x:row>
    <x:row r="27">
      <x:c r="A27" s="17" t="str">
        <x:v>وقت الكرك</x:v>
      </x:c>
      <x:c r="B27" s="17" t="str">
        <x:v>نشطة</x:v>
      </x:c>
      <x:c r="C27" s="17" t="str">
        <x:v>رواتب</x:v>
      </x:c>
      <x:c r="D27" s="17" t="n">
        <x:v>3</x:v>
      </x:c>
      <x:c r="E27" s="17" t="n">
        <x:v>21404.81</x:v>
      </x:c>
      <x:c r="F27" s="17" t="n">
        <x:v>0</x:v>
      </x:c>
      <x:c r="G27" s="17" t="n">
        <x:v>0</x:v>
      </x:c>
      <x:c r="H27" s="17" t="n">
        <x:f>G27-E27</x:f>
        <x:v>-21404.81</x:v>
      </x:c>
      <x:c r="I27" s="17" t="str">
        <x:v>لم يرحل</x:v>
      </x:c>
      <x:c r="J27" s="17" t="str">
        <x:v>توجد 3 مسيرات؛ لا تحويل إلى كشوف رواتب بعد</x:v>
      </x:c>
    </x:row>
    <x:row r="28">
      <x:c r="A28" s="17" t="str">
        <x:v>وقت الكرك</x:v>
      </x:c>
      <x:c r="B28" s="17" t="str">
        <x:v>نشطة</x:v>
      </x:c>
      <x:c r="C28" s="17" t="str">
        <x:v>سلف موظفين</x:v>
      </x:c>
      <x:c r="D28" s="17" t="n">
        <x:v>24</x:v>
      </x:c>
      <x:c r="E28" s="17" t="n">
        <x:v>12900</x:v>
      </x:c>
      <x:c r="F28" s="17" t="n">
        <x:v>0</x:v>
      </x:c>
      <x:c r="G28" s="17" t="n">
        <x:v>0</x:v>
      </x:c>
      <x:c r="H28" s="17" t="n">
        <x:f>G28-E28</x:f>
        <x:v>-12900</x:v>
      </x:c>
      <x:c r="I28" s="17" t="str">
        <x:v>لم يرحل</x:v>
      </x:c>
      <x:c r="J28" s="17" t="str">
        <x:v>24 سجلًا نشطًا</x:v>
      </x:c>
    </x:row>
    <x:row r="29">
      <x:c r="A29" s="17" t="str">
        <x:v>وقت الكرك</x:v>
      </x:c>
      <x:c r="B29" s="17" t="str">
        <x:v>نشطة</x:v>
      </x:c>
      <x:c r="C29" s="17" t="str">
        <x:v>تسوية راتب صافي معتمدة</x:v>
      </x:c>
      <x:c r="D29" s="17" t="n">
        <x:v>1</x:v>
      </x:c>
      <x:c r="E29" s="17" t="n">
        <x:v>10216.67</x:v>
      </x:c>
      <x:c r="F29" s="17" t="n">
        <x:v>1</x:v>
      </x:c>
      <x:c r="G29" s="17" t="n">
        <x:v>10216.67</x:v>
      </x:c>
      <x:c r="H29" s="17" t="n">
        <x:f>G29-E29</x:f>
        <x:v>0</x:v>
      </x:c>
      <x:c r="I29" s="17" t="str">
        <x:v>مطابق</x:v>
      </x:c>
      <x:c r="J29" s="17" t="str">
        <x:v>PR-2605-001 فقط، قيد بنك مالك-معتمد وليس مسير رواتب</x:v>
      </x:c>
    </x:row>
    <x:row r="30">
      <x:c r="A30" s="17" t="str">
        <x:v>SHAMI TAX</x:v>
      </x:c>
      <x:c r="B30" s="17" t="str">
        <x:v>نشطة</x:v>
      </x:c>
      <x:c r="C30" s="17" t="str">
        <x:v>مشتريات</x:v>
      </x:c>
      <x:c r="D30" s="17" t="n">
        <x:v>36</x:v>
      </x:c>
      <x:c r="E30" s="17" t="n">
        <x:v>275480</x:v>
      </x:c>
      <x:c r="F30" s="17" t="n">
        <x:v>0</x:v>
      </x:c>
      <x:c r="G30" s="17" t="n">
        <x:v>0</x:v>
      </x:c>
      <x:c r="H30" s="17" t="n">
        <x:f>G30-E30</x:f>
        <x:v>-275480</x:v>
      </x:c>
      <x:c r="I30" s="17" t="str">
        <x:v>لم يرحل</x:v>
      </x:c>
      <x:c r="J30" s="17" t="str">
        <x:v>لا توجد خريطة شركة في QA</x:v>
      </x:c>
    </x:row>
    <x:row r="31">
      <x:c r="A31" s="17" t="str">
        <x:v>TEST</x:v>
      </x:c>
      <x:c r="B31" s="17" t="str">
        <x:v>تجريبية</x:v>
      </x:c>
      <x:c r="C31" s="17" t="str">
        <x:v>كل العمليات النشطة</x:v>
      </x:c>
      <x:c r="D31" s="17" t="n">
        <x:v>25</x:v>
      </x:c>
      <x:c r="E31" s="17" t="n">
        <x:v>16430</x:v>
      </x:c>
      <x:c r="F31" s="17" t="n">
        <x:v>0</x:v>
      </x:c>
      <x:c r="G31" s="17" t="n">
        <x:v>0</x:v>
      </x:c>
      <x:c r="H31" s="17" t="n">
        <x:f>G31-E31</x:f>
        <x:v>-16430</x:v>
      </x:c>
      <x:c r="I31" s="17" t="str">
        <x:v>مستبعد</x:v>
      </x:c>
      <x:c r="J31" s="17" t="str">
        <x:v>بيانات اختبار؛ لا تهاجر تلقائيًا</x:v>
      </x:c>
    </x:row>
    <x:row r="32">
      <x:c r="A32" s="17" t="str">
        <x:v>TEST1</x:v>
      </x:c>
      <x:c r="B32" s="17" t="str">
        <x:v>مؤرشفة تجريبية</x:v>
      </x:c>
      <x:c r="C32" s="17" t="str">
        <x:v>مبيعات</x:v>
      </x:c>
      <x:c r="D32" s="17" t="n">
        <x:v>1</x:v>
      </x:c>
      <x:c r="E32" s="17" t="n">
        <x:v>2000</x:v>
      </x:c>
      <x:c r="F32" s="17" t="n">
        <x:v>0</x:v>
      </x:c>
      <x:c r="G32" s="17" t="n">
        <x:v>0</x:v>
      </x:c>
      <x:c r="H32" s="17" t="n">
        <x:f>G32-E32</x:f>
        <x:v>-2000</x:v>
      </x:c>
      <x:c r="I32" s="17" t="str">
        <x:v>مستبعد</x:v>
      </x:c>
      <x:c r="J32" s="17" t="str">
        <x:v>بيانات اختبار مؤرشفة</x:v>
      </x:c>
    </x:row>
    <x:row r="34">
      <x:c r="A34" s="25" t="str">
        <x:v>إجمالي الصفوف المعروضة</x:v>
      </x:c>
      <x:c r="B34" s="25"/>
      <x:c r="C34" s="25"/>
      <x:c r="D34" s="25" t="n">
        <x:f>SUM(D4:D32)</x:f>
        <x:v>3925</x:v>
      </x:c>
      <x:c r="E34" s="25" t="n">
        <x:f>SUM(E4:E32)</x:f>
        <x:v>8852091.7953</x:v>
      </x:c>
      <x:c r="F34" s="25" t="n">
        <x:f>SUM(F4:F32)</x:f>
        <x:v>976</x:v>
      </x:c>
      <x:c r="G34" s="25" t="n">
        <x:f>SUM(G4:G32)</x:f>
        <x:v>6241397.03</x:v>
      </x:c>
      <x:c r="H34" s="25" t="n">
        <x:f>SUM(H4:H32)</x:f>
        <x:v>-2610694.7653000006</x:v>
      </x:c>
      <x:c r="I34" s="25"/>
      <x:c r="J34" s="25"/>
    </x:row>
  </x:sheetData>
  <x:mergeCells>
    <x:mergeCell ref="A1:J1"/>
  </x:mergeCells>
  <x:conditionalFormatting sqref="I4:I32">
    <x:cfRule type="containsText" dxfId="0" priority="1" operator="containsText" text="مطابق"/>
    <x:cfRule type="containsText" dxfId="1" priority="2" operator="containsText" text="لم يرحل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A4D6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17" hidden="0" customWidth="1"/>
    <x:col min="5" max="5" width="48" hidden="0" customWidth="1"/>
  </x:cols>
  <x:sheetData>
    <x:row r="1" ht="28" customHeight="1">
      <x:c r="A1" s="4" t="str">
        <x:v>سجلات نوركس الملغاة أو المستبعدة</x:v>
      </x:c>
      <x:c r="B1" s="4"/>
      <x:c r="C1" s="4"/>
      <x:c r="D1" s="26"/>
      <x:c r="E1" s="27"/>
      <x:c r="F1" s="29"/>
      <x:c r="G1" s="30"/>
      <x:c r="H1" s="31"/>
    </x:row>
    <x:row r="3">
      <x:c r="A3" s="14" t="str">
        <x:v>الشركة</x:v>
      </x:c>
      <x:c r="B3" s="14" t="str">
        <x:v>نوع العملية</x:v>
      </x:c>
      <x:c r="C3" s="14" t="str">
        <x:v>العدد</x:v>
      </x:c>
      <x:c r="D3" s="14" t="str">
        <x:v>الإجمالي</x:v>
      </x:c>
      <x:c r="E3" s="14" t="str">
        <x:v>المعالجة</x:v>
      </x:c>
    </x:row>
    <x:row r="4">
      <x:c r="A4" s="17" t="str">
        <x:v>ARZ</x:v>
      </x:c>
      <x:c r="B4" s="17" t="str">
        <x:v>مبيعات</x:v>
      </x:c>
      <x:c r="C4" s="34" t="n">
        <x:v>11</x:v>
      </x:c>
      <x:c r="D4" s="33" t="n">
        <x:v>51760</x:v>
      </x:c>
      <x:c r="E4" s="17" t="str">
        <x:v>ملغى في نوركس؛ لا ينشأ بيع أو قيد في أودو</x:v>
      </x:c>
    </x:row>
    <x:row r="5">
      <x:c r="A5" s="17" t="str">
        <x:v>ARZ</x:v>
      </x:c>
      <x:c r="B5" s="17" t="str">
        <x:v>مشتريات</x:v>
      </x:c>
      <x:c r="C5" s="34" t="n">
        <x:v>9</x:v>
      </x:c>
      <x:c r="D5" s="33" t="n">
        <x:v>1966.09</x:v>
      </x:c>
      <x:c r="E5" s="17" t="str">
        <x:v>ملغى في نوركس؛ لا ينشأ مورد أو دفعة</x:v>
      </x:c>
    </x:row>
    <x:row r="6">
      <x:c r="A6" s="17" t="str">
        <x:v>ARZ</x:v>
      </x:c>
      <x:c r="B6" s="17" t="str">
        <x:v>مصروفات</x:v>
      </x:c>
      <x:c r="C6" s="34" t="n">
        <x:v>3</x:v>
      </x:c>
      <x:c r="D6" s="33" t="n">
        <x:v>5531.5</x:v>
      </x:c>
      <x:c r="E6" s="17" t="str">
        <x:v>ملغى في نوركس</x:v>
      </x:c>
    </x:row>
    <x:row r="7">
      <x:c r="A7" s="17" t="str">
        <x:v>ARZ</x:v>
      </x:c>
      <x:c r="B7" s="17" t="str">
        <x:v>مصروفات ثابتة</x:v>
      </x:c>
      <x:c r="C7" s="34" t="n">
        <x:v>3</x:v>
      </x:c>
      <x:c r="D7" s="33" t="n">
        <x:v>7839.69</x:v>
      </x:c>
      <x:c r="E7" s="17" t="str">
        <x:v>ملغى في نوركس</x:v>
      </x:c>
    </x:row>
    <x:row r="8">
      <x:c r="A8" s="17" t="str">
        <x:v>ARZ</x:v>
      </x:c>
      <x:c r="B8" s="17" t="str">
        <x:v>رواتب</x:v>
      </x:c>
      <x:c r="C8" s="34" t="n">
        <x:v>12</x:v>
      </x:c>
      <x:c r="D8" s="33" t="n">
        <x:v>22345.16</x:v>
      </x:c>
      <x:c r="E8" s="17" t="str">
        <x:v>ملغى في نوركس</x:v>
      </x:c>
    </x:row>
    <x:row r="9">
      <x:c r="A9" s="17" t="str">
        <x:v>ARZ</x:v>
      </x:c>
      <x:c r="B9" s="17" t="str">
        <x:v>سلف موظفين</x:v>
      </x:c>
      <x:c r="C9" s="34" t="n">
        <x:v>1</x:v>
      </x:c>
      <x:c r="D9" s="33" t="n">
        <x:v>100</x:v>
      </x:c>
      <x:c r="E9" s="17" t="str">
        <x:v>ملغى في نوركس</x:v>
      </x:c>
    </x:row>
    <x:row r="10">
      <x:c r="A10" s="17" t="str">
        <x:v>المعلم الشامي</x:v>
      </x:c>
      <x:c r="B10" s="17" t="str">
        <x:v>مبيعات</x:v>
      </x:c>
      <x:c r="C10" s="34" t="n">
        <x:v>2</x:v>
      </x:c>
      <x:c r="D10" s="33" t="n">
        <x:v>2751</x:v>
      </x:c>
      <x:c r="E10" s="17" t="str">
        <x:v>ملغى في نوركس</x:v>
      </x:c>
    </x:row>
    <x:row r="11">
      <x:c r="A11" s="17" t="str">
        <x:v>المعلم الشامي</x:v>
      </x:c>
      <x:c r="B11" s="17" t="str">
        <x:v>مشتريات</x:v>
      </x:c>
      <x:c r="C11" s="34" t="n">
        <x:v>32</x:v>
      </x:c>
      <x:c r="D11" s="33" t="n">
        <x:v>9775.47</x:v>
      </x:c>
      <x:c r="E11" s="17" t="str">
        <x:v>ملغى في نوركس</x:v>
      </x:c>
    </x:row>
    <x:row r="12">
      <x:c r="A12" s="17" t="str">
        <x:v>المعلم الشامي</x:v>
      </x:c>
      <x:c r="B12" s="17" t="str">
        <x:v>مصروفات</x:v>
      </x:c>
      <x:c r="C12" s="34" t="n">
        <x:v>14</x:v>
      </x:c>
      <x:c r="D12" s="33" t="n">
        <x:v>76290.54</x:v>
      </x:c>
      <x:c r="E12" s="17" t="str">
        <x:v>ملغى في نوركس</x:v>
      </x:c>
    </x:row>
    <x:row r="13">
      <x:c r="A13" s="17" t="str">
        <x:v>المعلم الشامي</x:v>
      </x:c>
      <x:c r="B13" s="17" t="str">
        <x:v>رواتب</x:v>
      </x:c>
      <x:c r="C13" s="34" t="n">
        <x:v>1</x:v>
      </x:c>
      <x:c r="D13" s="33" t="n">
        <x:v>900</x:v>
      </x:c>
      <x:c r="E13" s="17" t="str">
        <x:v>ملغى في نوركس</x:v>
      </x:c>
    </x:row>
    <x:row r="14">
      <x:c r="A14" s="17" t="str">
        <x:v>المعلم الشامي</x:v>
      </x:c>
      <x:c r="B14" s="17" t="str">
        <x:v>سلف موظفين</x:v>
      </x:c>
      <x:c r="C14" s="34" t="n">
        <x:v>3</x:v>
      </x:c>
      <x:c r="D14" s="33" t="n">
        <x:v>400</x:v>
      </x:c>
      <x:c r="E14" s="17" t="str">
        <x:v>ملغى في نوركس</x:v>
      </x:c>
    </x:row>
    <x:row r="15">
      <x:c r="A15" s="17" t="str">
        <x:v>دوحة المستهلك</x:v>
      </x:c>
      <x:c r="B15" s="17" t="str">
        <x:v>مبيعات</x:v>
      </x:c>
      <x:c r="C15" s="34" t="n">
        <x:v>1</x:v>
      </x:c>
      <x:c r="D15" s="33" t="n">
        <x:v>3753</x:v>
      </x:c>
      <x:c r="E15" s="17" t="str">
        <x:v>ملغى في نوركس</x:v>
      </x:c>
    </x:row>
    <x:row r="16">
      <x:c r="A16" s="17" t="str">
        <x:v>وقت الكرك</x:v>
      </x:c>
      <x:c r="B16" s="17" t="str">
        <x:v>مبيعات</x:v>
      </x:c>
      <x:c r="C16" s="34" t="n">
        <x:v>1</x:v>
      </x:c>
      <x:c r="D16" s="33" t="n">
        <x:v>3204</x:v>
      </x:c>
      <x:c r="E16" s="17" t="str">
        <x:v>ملغى في نوركس</x:v>
      </x:c>
    </x:row>
    <x:row r="17">
      <x:c r="A17" s="17" t="str">
        <x:v>وقت الكرك</x:v>
      </x:c>
      <x:c r="B17" s="17" t="str">
        <x:v>مشتريات</x:v>
      </x:c>
      <x:c r="C17" s="34" t="n">
        <x:v>1</x:v>
      </x:c>
      <x:c r="D17" s="33" t="n">
        <x:v>789</x:v>
      </x:c>
      <x:c r="E17" s="17" t="str">
        <x:v>ملغى في نوركس</x:v>
      </x:c>
    </x:row>
    <x:row r="18">
      <x:c r="A18" s="17" t="str">
        <x:v>وقت الكرك</x:v>
      </x:c>
      <x:c r="B18" s="17" t="str">
        <x:v>سلف موظفين</x:v>
      </x:c>
      <x:c r="C18" s="34" t="n">
        <x:v>1</x:v>
      </x:c>
      <x:c r="D18" s="33" t="n">
        <x:v>250</x:v>
      </x:c>
      <x:c r="E18" s="17" t="str">
        <x:v>ملغى في نوركس</x:v>
      </x:c>
    </x:row>
    <x:row r="19">
      <x:c r="A19" s="17" t="str">
        <x:v>TEST1</x:v>
      </x:c>
      <x:c r="B19" s="17" t="str">
        <x:v>مصروفات</x:v>
      </x:c>
      <x:c r="C19" s="34" t="n">
        <x:v>1</x:v>
      </x:c>
      <x:c r="D19" s="33" t="n">
        <x:v>115</x:v>
      </x:c>
      <x:c r="E19" s="17" t="str">
        <x:v>ملغى في نوركس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A4D6D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50" hidden="0" customWidth="1"/>
    <x:col min="3" max="3" width="45" hidden="0" customWidth="1"/>
    <x:col min="4" max="4" width="48" hidden="0" customWidth="1"/>
  </x:cols>
  <x:sheetData>
    <x:row r="1" ht="28" customHeight="1">
      <x:c r="A1" s="4" t="str">
        <x:v>المصادر والمنهجية</x:v>
      </x:c>
      <x:c r="B1" s="4"/>
      <x:c r="C1" s="4"/>
      <x:c r="D1" s="4"/>
    </x:row>
    <x:row r="3">
      <x:c r="A3" s="14" t="str">
        <x:v>المصدر</x:v>
      </x:c>
      <x:c r="B3" s="14" t="str">
        <x:v>الهوية</x:v>
      </x:c>
      <x:c r="C3" s="14" t="str">
        <x:v>الاستخدام</x:v>
      </x:c>
      <x:c r="D3" s="14" t="str">
        <x:v>حد المقارنة</x:v>
      </x:c>
    </x:row>
    <x:row r="4">
      <x:c r="A4" s="17" t="str">
        <x:v>أرشيف نوركس الموحد</x:v>
      </x:c>
      <x:c r="B4" s="17" t="str">
        <x:v>SHA-256: 948db34074c397f7caef3feb29fd954b9d49aa03104e3a43dec625d837636e1c</x:v>
      </x:c>
      <x:c r="C4" s="17" t="str">
        <x:v>مصدر الأعداد والمبالغ وحالات المستندات</x:v>
      </x:c>
      <x:c r="D4" s="17" t="str">
        <x:v>العمليات النشطة تقارن؛ الملغيات تحفظ كدليل</x:v>
      </x:c>
    </x:row>
    <x:row r="5">
      <x:c r="A5" s="17" t="str">
        <x:v>خرائط ترحيل QA</x:v>
      </x:c>
      <x:c r="B5" s="17" t="str">
        <x:v>sales summary maps=670؛ purchase maps=306؛ payroll settlement maps=1</x:v>
      </x:c>
      <x:c r="C5" s="17" t="str">
        <x:v>تثبت وجود مقابل في أودو ومنع التكرار</x:v>
      </x:c>
      <x:c r="D5" s="17" t="str">
        <x:v>المبيعات 670 مصدر إلى 669 هدف بسبب دمج معتمد</x:v>
      </x:c>
    </x:row>
    <x:row r="6">
      <x:c r="A6" s="17" t="str">
        <x:v>مبيعات QA</x:v>
      </x:c>
      <x:c r="B6" s="17" t="str">
        <x:v>أربع شركات تشغيلية</x:v>
      </x:c>
      <x:c r="C6" s="17" t="str">
        <x:v>مقارنة الشركة والإجمالي والعملاء وقنوات التحصيل</x:v>
      </x:c>
      <x:c r="D6" s="17" t="str">
        <x:v>إجمالي نوركس شامل VAT 15% حسب قرار المالك</x:v>
      </x:c>
    </x:row>
    <x:row r="7">
      <x:c r="A7" s="17" t="str">
        <x:v>مشتريات وقت الكرك QA</x:v>
      </x:c>
      <x:c r="B7" s="17" t="str">
        <x:v>306 فاتورة و306 دفعة</x:v>
      </x:c>
      <x:c r="C7" s="17" t="str">
        <x:v>مطابقة الوثيقة والضريبة والدفع والتسوية</x:v>
      </x:c>
      <x:c r="D7" s="17" t="str">
        <x:v>فرق المصدر الخام عن SAR المقرب: -0.004</x:v>
      </x:c>
    </x:row>
    <x:row r="10">
      <x:c r="A10" s="21" t="str">
        <x:v>قواعد القراءة</x:v>
      </x:c>
      <x:c r="B10" s="21"/>
      <x:c r="C10" s="21"/>
      <x:c r="D10" s="21"/>
    </x:row>
    <x:row r="11">
      <x:c r="A11" s="17" t="str">
        <x:v>1</x:v>
      </x:c>
      <x:c r="B11" s="17" t="str">
        <x:v>لا يقارن حقل ضريبة نوركس الصفري بضريبة أودو للمبيعات</x:v>
      </x:c>
      <x:c r="C11" s="17" t="str">
        <x:v>قرار الأعمال يعامل إجمالي المبيعات شامل ضريبة 15%</x:v>
      </x:c>
      <x:c r="D11" s="17"/>
    </x:row>
    <x:row r="12">
      <x:c r="A12" s="17" t="str">
        <x:v>2</x:v>
      </x:c>
      <x:c r="B12" s="17" t="str">
        <x:v>لا تعد تسوية PR-2605-001 مسير رواتب كامل</x:v>
      </x:c>
      <x:c r="C12" s="17" t="str">
        <x:v>هي قيد صافي راتب معتمد من المالك فقط</x:v>
      </x:c>
      <x:c r="D12" s="17"/>
    </x:row>
    <x:row r="13">
      <x:c r="A13" s="17" t="str">
        <x:v>3</x:v>
      </x:c>
      <x:c r="B13" s="17" t="str">
        <x:v>صفوف TEST وTEST1 ليست فجوة ترحيل تلقائية</x:v>
      </x:c>
      <x:c r="C13" s="17" t="str">
        <x:v>تصنف كبيانات تجريبية حتى يصدر قرار مختلف</x:v>
      </x:c>
      <x:c r="D13" s="17"/>
    </x:row>
    <x:row r="14">
      <x:c r="A14" s="17" t="str">
        <x:v>4</x:v>
      </x:c>
      <x:c r="B14" s="17" t="str">
        <x:v>أي ترحيل لاحق يحتاج مفتاح مصدر، تسوية شهرية، وإعادة تشغيل بلا تكرار</x:v>
      </x:c>
      <x:c r="C14" s="17" t="str">
        <x:v>لا تعتمد المقارنة على الاسم أو المبلغ فقط</x:v>
      </x:c>
      <x:c r="D14" s="17"/>
    </x:row>
  </x:sheetData>
  <x:mergeCells>
    <x:mergeCell ref="A1:D1"/>
    <x:mergeCell ref="A10:D10"/>
  </x:mergeCells>
  <x:pageMargins left="0.7" right="0.7" top="0.75" bottom="0.75" header="0.3" footer="0.3"/>
</x:worksheet>
</file>